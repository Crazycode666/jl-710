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品牌客户验收" sheetId="1" r:id="rId1"/>
    <sheet name="1、RF传导测试" sheetId="3" r:id="rId2"/>
    <sheet name="2、RF暗室测试  " sheetId="4" r:id="rId3"/>
    <sheet name="3、DAC性能测试 " sheetId="5" r:id="rId4"/>
    <sheet name="4、功耗测试" sheetId="6" r:id="rId5"/>
    <sheet name="5、距离测试 " sheetId="18" r:id="rId6"/>
    <sheet name="6、卡顿专项测试 " sheetId="17" r:id="rId7"/>
    <sheet name="7、RF C-I测试  " sheetId="9" r:id="rId8"/>
    <sheet name="2、RF暗室测试" sheetId="10" state="hidden" r:id="rId9"/>
    <sheet name="5、距离测试" sheetId="11" state="hidden" r:id="rId10"/>
    <sheet name="6、卡顿专项测试" sheetId="12" state="hidden" r:id="rId11"/>
    <sheet name="12、杂音测试" sheetId="13" state="hidden" r:id="rId12"/>
    <sheet name="13、ANC测试" sheetId="14" state="hidden" r:id="rId13"/>
    <sheet name="14、ENC测试" sheetId="15" state="hidden" r:id="rId14"/>
    <sheet name="WpsReserved_CellImgList" sheetId="16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8" name="ID_7C49E9AB71D54120A223424EB54498F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4458970"/>
          <a:ext cx="7820025" cy="492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FB93201B90541F0A44E9E6266D8901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560" y="7595870"/>
          <a:ext cx="7820025" cy="492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3F0762D193B84B518CC99419CAE90DB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02200" y="7494270"/>
          <a:ext cx="7820025" cy="492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EF022CEAADC740309AE5B5E211B6AF7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02200" y="4268470"/>
          <a:ext cx="7820025" cy="492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DA4475C127D641D9A3B506EAE65BEC7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21275" y="4335145"/>
          <a:ext cx="78200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<sst xmlns="http://schemas.openxmlformats.org/spreadsheetml/2006/main" count="1044" uniqueCount="445">
  <si>
    <t>杰理科技产品测试报告</t>
  </si>
  <si>
    <t>产品型号/Model</t>
  </si>
  <si>
    <t>realme T02</t>
  </si>
  <si>
    <t>客户/Client</t>
  </si>
  <si>
    <t>realme</t>
  </si>
  <si>
    <t>芯片型号/Chipset</t>
  </si>
  <si>
    <t>AC7106F</t>
  </si>
  <si>
    <t>SDK版本/SDK version</t>
  </si>
  <si>
    <t>P2.11</t>
  </si>
  <si>
    <t>PCBA版本/PCBA version</t>
  </si>
  <si>
    <t>/</t>
  </si>
  <si>
    <t>产品类型/Product Type</t>
  </si>
  <si>
    <t>蓝牙耳机</t>
  </si>
  <si>
    <t>测试日期/Test Date</t>
  </si>
  <si>
    <t>作者/Author</t>
  </si>
  <si>
    <t>郑海涛</t>
  </si>
  <si>
    <t>测试地点/Location</t>
  </si>
  <si>
    <t>杰理科技园</t>
  </si>
  <si>
    <t>质量标准</t>
  </si>
  <si>
    <t>验收结果</t>
  </si>
  <si>
    <t>性能指标报告</t>
  </si>
  <si>
    <t>1、RF传导测试</t>
  </si>
  <si>
    <t>FAIL</t>
  </si>
  <si>
    <t>2、RF暗室测试</t>
  </si>
  <si>
    <t>3、DAC性能测试</t>
  </si>
  <si>
    <t>PASS</t>
  </si>
  <si>
    <t>4、功耗测试</t>
  </si>
  <si>
    <t>5、距离测试</t>
  </si>
  <si>
    <t>6、卡顿专项测试</t>
  </si>
  <si>
    <t>7、RF C-I测试</t>
  </si>
  <si>
    <t>结论：1、传导测试，灵敏度部分频点未达标
          2、暗室测试未达标
          3、功耗测试，关机功耗太大</t>
  </si>
  <si>
    <t>RF传导测试报告</t>
  </si>
  <si>
    <t>测试日期</t>
  </si>
  <si>
    <t>测试人员</t>
  </si>
  <si>
    <t>测试仪器</t>
  </si>
  <si>
    <t>cmw270</t>
  </si>
  <si>
    <t>测试版本</t>
  </si>
  <si>
    <t>测试说明</t>
  </si>
  <si>
    <t>1、馈线测试    2、DEVM    3、发射功率    4、接收灵敏度</t>
  </si>
  <si>
    <t>测试标准</t>
  </si>
  <si>
    <t>1、PEAK &lt; 25%     2、-90dBm&lt;SEN&lt;-95dBm</t>
  </si>
  <si>
    <t>测试结果</t>
  </si>
  <si>
    <t>测试数据</t>
  </si>
  <si>
    <t>测试样机</t>
  </si>
  <si>
    <t>FREQ</t>
  </si>
  <si>
    <t>PEAK</t>
  </si>
  <si>
    <t>RMS</t>
  </si>
  <si>
    <t>PWR</t>
  </si>
  <si>
    <t>Sen</t>
  </si>
  <si>
    <t>BER</t>
  </si>
  <si>
    <t>PER</t>
  </si>
  <si>
    <t>LOST</t>
  </si>
  <si>
    <t>AVG</t>
  </si>
  <si>
    <t xml:space="preserve">  </t>
  </si>
  <si>
    <t>RF暗室测试</t>
  </si>
  <si>
    <t>硬件版本</t>
  </si>
  <si>
    <t>软件版本</t>
  </si>
  <si>
    <t>空间：TRP &gt;= 2dBm; TIS &lt;= -83dBm;
人模：TRP &gt;= -6dBm; TIS &lt;= -78dBm;</t>
  </si>
  <si>
    <t>芯片传导测试数据</t>
  </si>
  <si>
    <t>去掉匹配物料，测试RF主控脚，GND就近焊接</t>
  </si>
  <si>
    <t>频点（MHZ）</t>
  </si>
  <si>
    <t>功率/dBm</t>
  </si>
  <si>
    <t>灵敏度/dBm</t>
  </si>
  <si>
    <t>备注</t>
  </si>
  <si>
    <t>R or L</t>
  </si>
  <si>
    <t>天线匹配调试</t>
  </si>
  <si>
    <t>测试说明：</t>
  </si>
  <si>
    <t>Smith/Log mag图</t>
  </si>
  <si>
    <t>L</t>
  </si>
  <si>
    <t>R</t>
  </si>
  <si>
    <t>无源天线效率</t>
  </si>
  <si>
    <t>效率（%）</t>
  </si>
  <si>
    <t>效率（dB）</t>
  </si>
  <si>
    <t>增益（dbi）</t>
  </si>
  <si>
    <t>天线增益</t>
  </si>
  <si>
    <t>天线匹配电路</t>
  </si>
  <si>
    <t>有源OTA测试数据-空间</t>
  </si>
  <si>
    <t>初始状态</t>
  </si>
  <si>
    <t>TRP/dBm</t>
  </si>
  <si>
    <t>TIS/dBm</t>
  </si>
  <si>
    <t>TRP/dbm</t>
  </si>
  <si>
    <t>TIS/dbm</t>
  </si>
  <si>
    <r>
      <rPr>
        <b/>
        <sz val="12"/>
        <color rgb="FF000000"/>
        <rFont val="微软雅黑"/>
        <charset val="134"/>
      </rPr>
      <t>音频测试（PCBA测试）</t>
    </r>
  </si>
  <si>
    <r>
      <rPr>
        <b/>
        <sz val="10"/>
        <color rgb="FF000000"/>
        <rFont val="微软雅黑"/>
        <charset val="134"/>
      </rPr>
      <t>测试日期</t>
    </r>
  </si>
  <si>
    <r>
      <rPr>
        <b/>
        <sz val="10"/>
        <color rgb="FF000000"/>
        <rFont val="微软雅黑"/>
        <charset val="134"/>
      </rPr>
      <t>测试人员</t>
    </r>
  </si>
  <si>
    <r>
      <rPr>
        <b/>
        <sz val="10"/>
        <color rgb="FF000000"/>
        <rFont val="微软雅黑"/>
        <charset val="134"/>
      </rPr>
      <t>测试仪器</t>
    </r>
  </si>
  <si>
    <t>6楼屏蔽房AP音频分析仪 负载板32Ω</t>
  </si>
  <si>
    <r>
      <rPr>
        <b/>
        <sz val="10"/>
        <color rgb="FF000000"/>
        <rFont val="微软雅黑"/>
        <charset val="134"/>
      </rPr>
      <t>硬件版本</t>
    </r>
  </si>
  <si>
    <r>
      <rPr>
        <b/>
        <sz val="10"/>
        <color rgb="FF000000"/>
        <rFont val="微软雅黑"/>
        <charset val="134"/>
      </rPr>
      <t>软件版本</t>
    </r>
  </si>
  <si>
    <r>
      <rPr>
        <b/>
        <sz val="10"/>
        <color rgb="FF000000"/>
        <rFont val="微软雅黑"/>
        <charset val="134"/>
      </rPr>
      <t>测试结果</t>
    </r>
  </si>
  <si>
    <r>
      <rPr>
        <b/>
        <sz val="10"/>
        <color rgb="FF000000"/>
        <rFont val="微软雅黑"/>
        <charset val="134"/>
      </rPr>
      <t>测试数据</t>
    </r>
  </si>
  <si>
    <r>
      <rPr>
        <b/>
        <sz val="10"/>
        <color rgb="FF000000"/>
        <rFont val="微软雅黑"/>
        <charset val="134"/>
      </rPr>
      <t>序号</t>
    </r>
  </si>
  <si>
    <r>
      <rPr>
        <b/>
        <sz val="10"/>
        <color rgb="FF000000"/>
        <rFont val="微软雅黑"/>
        <charset val="134"/>
      </rPr>
      <t>测试项</t>
    </r>
  </si>
  <si>
    <r>
      <rPr>
        <b/>
        <sz val="10"/>
        <color rgb="FF000000"/>
        <rFont val="微软雅黑"/>
        <charset val="134"/>
      </rPr>
      <t>测试条件</t>
    </r>
  </si>
  <si>
    <r>
      <rPr>
        <b/>
        <sz val="10"/>
        <color rgb="FF000000"/>
        <rFont val="微软雅黑"/>
        <charset val="134"/>
      </rPr>
      <t>Input</t>
    </r>
  </si>
  <si>
    <r>
      <rPr>
        <b/>
        <sz val="10"/>
        <color rgb="FF000000"/>
        <rFont val="微软雅黑"/>
        <charset val="134"/>
      </rPr>
      <t>Unit</t>
    </r>
  </si>
  <si>
    <r>
      <rPr>
        <b/>
        <sz val="10"/>
        <color rgb="FF000000"/>
        <rFont val="微软雅黑"/>
        <charset val="134"/>
      </rPr>
      <t>Spce</t>
    </r>
  </si>
  <si>
    <r>
      <rPr>
        <b/>
        <sz val="10"/>
        <color rgb="FF000000"/>
        <rFont val="微软雅黑"/>
        <charset val="134"/>
      </rPr>
      <t>样机名</t>
    </r>
  </si>
  <si>
    <r>
      <rPr>
        <b/>
        <sz val="10"/>
        <color rgb="FF000000"/>
        <rFont val="微软雅黑"/>
        <charset val="134"/>
      </rPr>
      <t>L(左耳)</t>
    </r>
  </si>
  <si>
    <r>
      <rPr>
        <b/>
        <sz val="10"/>
        <color rgb="FF000000"/>
        <rFont val="微软雅黑"/>
        <charset val="134"/>
      </rPr>
      <t>R(右耳)</t>
    </r>
  </si>
  <si>
    <r>
      <rPr>
        <sz val="10"/>
        <color rgb="FF000000"/>
        <rFont val="微软雅黑"/>
        <charset val="134"/>
      </rPr>
      <t>RMS Level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(最大输出电压)</t>
    </r>
  </si>
  <si>
    <r>
      <rPr>
        <sz val="10"/>
        <color rgb="FF000000"/>
        <rFont val="微软雅黑"/>
        <charset val="134"/>
      </rPr>
      <t>1kHz_0dBFS,带载</t>
    </r>
  </si>
  <si>
    <r>
      <rPr>
        <sz val="10"/>
        <color rgb="FF000000"/>
        <rFont val="微软雅黑"/>
        <charset val="134"/>
      </rPr>
      <t>1kHz_0dBFS</t>
    </r>
  </si>
  <si>
    <r>
      <rPr>
        <sz val="10"/>
        <color rgb="FF000000"/>
        <rFont val="微软雅黑"/>
        <charset val="134"/>
      </rPr>
      <t>mVrms</t>
    </r>
  </si>
  <si>
    <r>
      <rPr>
        <sz val="10"/>
        <color rgb="FF000000"/>
        <rFont val="微软雅黑"/>
        <charset val="134"/>
      </rPr>
      <t>&gt;300mv</t>
    </r>
  </si>
  <si>
    <r>
      <rPr>
        <sz val="10"/>
        <color rgb="FF000000"/>
        <rFont val="微软雅黑"/>
        <charset val="134"/>
      </rPr>
      <t>SNR(信噪比)</t>
    </r>
  </si>
  <si>
    <r>
      <rPr>
        <sz val="10"/>
        <color rgb="FF000000"/>
        <rFont val="微软雅黑"/>
        <charset val="134"/>
      </rPr>
      <t xml:space="preserve">1kHz_0dBFS,20Hz-20KHz,Butterworth,A-wt 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@A2DP SBC模式</t>
    </r>
  </si>
  <si>
    <r>
      <rPr>
        <sz val="10"/>
        <color rgb="FF000000"/>
        <rFont val="微软雅黑"/>
        <charset val="134"/>
      </rPr>
      <t>dB</t>
    </r>
  </si>
  <si>
    <r>
      <rPr>
        <sz val="10"/>
        <color rgb="FF000000"/>
        <rFont val="微软雅黑"/>
        <charset val="134"/>
      </rPr>
      <t>&gt;95</t>
    </r>
  </si>
  <si>
    <r>
      <rPr>
        <sz val="10"/>
        <color rgb="FF000000"/>
        <rFont val="微软雅黑"/>
        <charset val="134"/>
      </rPr>
      <t xml:space="preserve">1kHz_0dBFS,20Hz-20KHz,Butterworth,A-wt 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@A2DP AAC模式</t>
    </r>
  </si>
  <si>
    <r>
      <rPr>
        <sz val="10"/>
        <color rgb="FF000000"/>
        <rFont val="微软雅黑"/>
        <charset val="134"/>
      </rPr>
      <t>&gt;90</t>
    </r>
  </si>
  <si>
    <t xml:space="preserve"> </t>
  </si>
  <si>
    <r>
      <rPr>
        <sz val="10"/>
        <color rgb="FF000000"/>
        <rFont val="微软雅黑"/>
        <charset val="134"/>
      </rPr>
      <t xml:space="preserve">1kHz_0dBFS,20Hz-20KHz,Butterworth,A-wt 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@A2DP mSBC模式</t>
    </r>
  </si>
  <si>
    <r>
      <rPr>
        <sz val="10"/>
        <color rgb="FF000000"/>
        <rFont val="微软雅黑"/>
        <charset val="134"/>
      </rPr>
      <t>&gt;78</t>
    </r>
  </si>
  <si>
    <r>
      <rPr>
        <sz val="10"/>
        <color rgb="FF000000"/>
        <rFont val="微软雅黑"/>
        <charset val="134"/>
      </rPr>
      <t>Dynamic Range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（动态范围）</t>
    </r>
  </si>
  <si>
    <r>
      <rPr>
        <sz val="10"/>
        <color rgb="FF000000"/>
        <rFont val="微软雅黑"/>
        <charset val="134"/>
      </rPr>
      <t>THD+N at Ratio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（总谐波失真加噪声）</t>
    </r>
  </si>
  <si>
    <r>
      <rPr>
        <sz val="10"/>
        <color rgb="FF000000"/>
        <rFont val="微软雅黑"/>
        <charset val="134"/>
      </rPr>
      <t>%</t>
    </r>
  </si>
  <si>
    <r>
      <rPr>
        <sz val="10"/>
        <color rgb="FF000000"/>
        <rFont val="微软雅黑"/>
        <charset val="134"/>
      </rPr>
      <t>&lt;0.3</t>
    </r>
  </si>
  <si>
    <r>
      <rPr>
        <sz val="10"/>
        <color rgb="FF000000"/>
        <rFont val="微软雅黑"/>
        <charset val="134"/>
      </rPr>
      <t>THD Ratio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（总谐波失真）</t>
    </r>
  </si>
  <si>
    <r>
      <rPr>
        <sz val="10"/>
        <color rgb="FF000000"/>
        <rFont val="微软雅黑"/>
        <charset val="134"/>
      </rPr>
      <t xml:space="preserve">Noise（RMS）底噪 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SBC模式</t>
    </r>
  </si>
  <si>
    <r>
      <rPr>
        <sz val="10"/>
        <color rgb="FF000000"/>
        <rFont val="微软雅黑"/>
        <charset val="134"/>
      </rPr>
      <t>20Hz-20KHz,Butterworth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A-wt</t>
    </r>
  </si>
  <si>
    <r>
      <rPr>
        <sz val="10"/>
        <color rgb="FF000000"/>
        <rFont val="微软雅黑"/>
        <charset val="134"/>
      </rPr>
      <t>None</t>
    </r>
  </si>
  <si>
    <r>
      <rPr>
        <sz val="10"/>
        <color rgb="FF000000"/>
        <rFont val="微软雅黑"/>
        <charset val="134"/>
      </rPr>
      <t>uVrms</t>
    </r>
  </si>
  <si>
    <r>
      <rPr>
        <sz val="10"/>
        <color rgb="FF000000"/>
        <rFont val="微软雅黑"/>
        <charset val="134"/>
      </rPr>
      <t>&lt;12</t>
    </r>
  </si>
  <si>
    <r>
      <rPr>
        <sz val="10"/>
        <color rgb="FF000000"/>
        <rFont val="微软雅黑"/>
        <charset val="134"/>
      </rPr>
      <t>20Hz-20KHz,Butterworth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Signal Path</t>
    </r>
  </si>
  <si>
    <r>
      <rPr>
        <sz val="10"/>
        <color rgb="FF000000"/>
        <rFont val="微软雅黑"/>
        <charset val="134"/>
      </rPr>
      <t>&lt;15</t>
    </r>
  </si>
  <si>
    <t>Noise（RMS）底噪 
AAC模式</t>
  </si>
  <si>
    <r>
      <rPr>
        <sz val="10"/>
        <color rgb="FF000000"/>
        <rFont val="微软雅黑"/>
        <charset val="134"/>
      </rPr>
      <t xml:space="preserve">Noise（RMS）底噪 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HFP模式</t>
    </r>
  </si>
  <si>
    <r>
      <rPr>
        <sz val="10"/>
        <color rgb="FF000000"/>
        <rFont val="微软雅黑"/>
        <charset val="134"/>
      </rPr>
      <t>Phase（相位）</t>
    </r>
  </si>
  <si>
    <r>
      <rPr>
        <sz val="10"/>
        <color rgb="FF000000"/>
        <rFont val="微软雅黑"/>
        <charset val="134"/>
      </rPr>
      <t>deg</t>
    </r>
  </si>
  <si>
    <r>
      <rPr>
        <sz val="10"/>
        <color rgb="FF000000"/>
        <rFont val="微软雅黑"/>
        <charset val="134"/>
      </rPr>
      <t>≤5</t>
    </r>
  </si>
  <si>
    <r>
      <rPr>
        <sz val="10"/>
        <color rgb="FF000000"/>
        <rFont val="微软雅黑"/>
        <charset val="134"/>
      </rPr>
      <t>DUT delay（音频延时）</t>
    </r>
  </si>
  <si>
    <r>
      <rPr>
        <sz val="10"/>
        <color rgb="FF000000"/>
        <rFont val="微软雅黑"/>
        <charset val="134"/>
      </rPr>
      <t>A2DP SBC模式</t>
    </r>
  </si>
  <si>
    <r>
      <rPr>
        <sz val="10"/>
        <color rgb="FF000000"/>
        <rFont val="微软雅黑"/>
        <charset val="134"/>
      </rPr>
      <t>ms</t>
    </r>
  </si>
  <si>
    <r>
      <rPr>
        <sz val="10"/>
        <color rgb="FF000000"/>
        <rFont val="微软雅黑"/>
        <charset val="134"/>
      </rPr>
      <t>A2DP AAC模式</t>
    </r>
  </si>
  <si>
    <r>
      <rPr>
        <sz val="10"/>
        <color rgb="FF000000"/>
        <rFont val="微软雅黑"/>
        <charset val="134"/>
      </rPr>
      <t>HFP mSBC模式</t>
    </r>
  </si>
  <si>
    <r>
      <rPr>
        <sz val="10"/>
        <color rgb="FF000000"/>
        <rFont val="微软雅黑"/>
        <charset val="134"/>
      </rPr>
      <t>Game dut delay（游戏模式低延时）</t>
    </r>
  </si>
  <si>
    <r>
      <rPr>
        <sz val="10"/>
        <color rgb="FF000000"/>
        <rFont val="微软雅黑"/>
        <charset val="134"/>
      </rPr>
      <t>耳机手动切换到游戏模式(SBC)</t>
    </r>
  </si>
  <si>
    <r>
      <rPr>
        <sz val="10"/>
        <color rgb="FF000000"/>
        <rFont val="微软雅黑"/>
        <charset val="134"/>
      </rPr>
      <t>耳机手动切换到游戏模式(AAC)</t>
    </r>
  </si>
  <si>
    <r>
      <rPr>
        <b/>
        <sz val="12"/>
        <color rgb="FF000000"/>
        <rFont val="微软雅黑"/>
        <charset val="134"/>
      </rPr>
      <t>功耗测试 Power Consumption Performance</t>
    </r>
  </si>
  <si>
    <t>福禄克 FLUKE 289C，稳压源，示波器，iPhone7</t>
  </si>
  <si>
    <t>1、播歌音量为最大峰峰值的一半（样机最大音量峰峰值为1.26V，所以取峰峰值为0.66V时的音量进行测试，即iPhone7最大音量减二格）
2、输入电压为3.7V
3、测试播放歌曲：加州旅馆（整首）
4、测试通话：拨打服务号10086（前20s）,最大音量
5、负载：原生喇叭30Ω、无LED灯
6、程序设定未连接状态进入不了sniff</t>
  </si>
  <si>
    <r>
      <rPr>
        <b/>
        <sz val="10"/>
        <color rgb="FF000000"/>
        <rFont val="微软雅黑"/>
        <charset val="134"/>
      </rPr>
      <t>状态</t>
    </r>
  </si>
  <si>
    <r>
      <rPr>
        <b/>
        <sz val="10"/>
        <color rgb="FF000000"/>
        <rFont val="微软雅黑"/>
        <charset val="134"/>
      </rPr>
      <t>LDO/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微软雅黑"/>
        <charset val="134"/>
      </rPr>
      <t>DCDC</t>
    </r>
  </si>
  <si>
    <r>
      <rPr>
        <b/>
        <sz val="10"/>
        <color rgb="FF000000"/>
        <rFont val="微软雅黑"/>
        <charset val="134"/>
      </rPr>
      <t>空载</t>
    </r>
  </si>
  <si>
    <t>负载</t>
  </si>
  <si>
    <r>
      <rPr>
        <b/>
        <sz val="10"/>
        <color rgb="FF000000"/>
        <rFont val="微软雅黑"/>
        <charset val="134"/>
      </rPr>
      <t>主机</t>
    </r>
  </si>
  <si>
    <r>
      <rPr>
        <b/>
        <sz val="10"/>
        <color rgb="FF000000"/>
        <rFont val="微软雅黑"/>
        <charset val="134"/>
      </rPr>
      <t>从机</t>
    </r>
  </si>
  <si>
    <r>
      <rPr>
        <b/>
        <sz val="10"/>
        <color rgb="FF000000"/>
        <rFont val="微软雅黑"/>
        <charset val="134"/>
      </rPr>
      <t>最小最大值</t>
    </r>
  </si>
  <si>
    <r>
      <rPr>
        <b/>
        <sz val="10"/>
        <color rgb="FF000000"/>
        <rFont val="微软雅黑"/>
        <charset val="134"/>
      </rPr>
      <t>平均值</t>
    </r>
  </si>
  <si>
    <t>ANC ON</t>
  </si>
  <si>
    <r>
      <rPr>
        <b/>
        <sz val="10"/>
        <color rgb="FF000000"/>
        <rFont val="微软雅黑"/>
        <charset val="134"/>
      </rPr>
      <t>关机功耗(uA)</t>
    </r>
  </si>
  <si>
    <r>
      <rPr>
        <sz val="10"/>
        <color rgb="FF000000"/>
        <rFont val="微软雅黑"/>
        <charset val="134"/>
      </rPr>
      <t>DCDC</t>
    </r>
  </si>
  <si>
    <r>
      <rPr>
        <b/>
        <sz val="10"/>
        <color rgb="FF000000"/>
        <rFont val="微软雅黑"/>
        <charset val="134"/>
      </rPr>
      <t>未连接蓝牙状态(mA)</t>
    </r>
  </si>
  <si>
    <r>
      <rPr>
        <b/>
        <sz val="10"/>
        <color rgb="FF000000"/>
        <rFont val="微软雅黑"/>
        <charset val="134"/>
      </rPr>
      <t>连接待机功耗(mA)</t>
    </r>
  </si>
  <si>
    <t>2.816~3.953</t>
  </si>
  <si>
    <t>2.842~3.635</t>
  </si>
  <si>
    <r>
      <rPr>
        <b/>
        <sz val="10"/>
        <color rgb="FF000000"/>
        <rFont val="微软雅黑"/>
        <charset val="134"/>
      </rPr>
      <t>播歌(加州旅馆)(mA)</t>
    </r>
  </si>
  <si>
    <t>5.686~10.98</t>
  </si>
  <si>
    <t>5.478~8.745</t>
  </si>
  <si>
    <t>6.138~7.668</t>
  </si>
  <si>
    <t>5.951~7.878</t>
  </si>
  <si>
    <r>
      <rPr>
        <b/>
        <sz val="10"/>
        <color rgb="FF000000"/>
        <rFont val="微软雅黑"/>
        <charset val="134"/>
      </rPr>
      <t>通话(mA)</t>
    </r>
  </si>
  <si>
    <t>9.619~10.556</t>
  </si>
  <si>
    <t>5.914~6.587</t>
  </si>
  <si>
    <t>11.44~11.652</t>
  </si>
  <si>
    <t>9.308~10.166</t>
  </si>
  <si>
    <r>
      <rPr>
        <b/>
        <sz val="10"/>
        <color rgb="FF000000"/>
        <rFont val="微软雅黑"/>
        <charset val="134"/>
      </rPr>
      <t>负载</t>
    </r>
  </si>
  <si>
    <t>ANC OFF</t>
  </si>
  <si>
    <t>0.061~3.306</t>
  </si>
  <si>
    <t>0.051~1.341</t>
  </si>
  <si>
    <t>4.669~6.376</t>
  </si>
  <si>
    <t>4.434~8.023</t>
  </si>
  <si>
    <t>4.658~7.567</t>
  </si>
  <si>
    <t>4.35~7.017</t>
  </si>
  <si>
    <t>9.581~10.22</t>
  </si>
  <si>
    <t>4.955~5.462</t>
  </si>
  <si>
    <t>10.391~12.158</t>
  </si>
  <si>
    <t>8.372~9.354</t>
  </si>
  <si>
    <t>PASSTHROUGH</t>
  </si>
  <si>
    <t>3.072~6.755</t>
  </si>
  <si>
    <t>3.121~3.908</t>
  </si>
  <si>
    <t>5.958~8.636</t>
  </si>
  <si>
    <t>5.766~9.316</t>
  </si>
  <si>
    <t>6.375~8.828</t>
  </si>
  <si>
    <t>5.994~8.313</t>
  </si>
  <si>
    <t>9.400~10.953</t>
  </si>
  <si>
    <t>6.25~7.554</t>
  </si>
  <si>
    <t>1.295~13.017</t>
  </si>
  <si>
    <t>9.58~10.313</t>
  </si>
  <si>
    <t>距离测试</t>
  </si>
  <si>
    <t>郑海涛、吴鹏、何国平、杨妙芸</t>
  </si>
  <si>
    <t>测试设备</t>
  </si>
  <si>
    <t>iPhone16、realmeGT、mate50E、三星S21</t>
  </si>
  <si>
    <t>测试地点</t>
  </si>
  <si>
    <t>杰理科技园1楼篮球场旁走道</t>
  </si>
  <si>
    <t>测试人员信息</t>
  </si>
  <si>
    <t>身高：cm</t>
  </si>
  <si>
    <t>体重：kg</t>
  </si>
  <si>
    <t>BMI体型:(填入身高体重自动得出)：</t>
  </si>
  <si>
    <t>测试步骤及说明</t>
  </si>
  <si>
    <r>
      <rPr>
        <sz val="10"/>
        <color rgb="FF000000"/>
        <rFont val="微软雅黑"/>
        <charset val="134"/>
      </rPr>
      <t>先将手机蓝牙连接好待测试样机，音量大小合适；然后将手机固定在专用支架上面，手机打横放置，与墙面保持平行。
1、</t>
    </r>
    <r>
      <rPr>
        <b/>
        <sz val="10"/>
        <color rgb="FF000000"/>
        <rFont val="微软雅黑"/>
        <charset val="134"/>
      </rPr>
      <t>播歌距离</t>
    </r>
    <r>
      <rPr>
        <sz val="10"/>
        <color rgb="FF000000"/>
        <rFont val="微软雅黑"/>
        <charset val="134"/>
      </rPr>
      <t xml:space="preserve">：
a.选取一直有声音的音乐进行播放，佩戴好耳机进行播歌距离测试
b.每隔3米左右采取转圈一次的方式进行，只要有卡顿就停止测试，然后在卡顿处多次测试，确定好最终的卡顿地点并记录数据
2、编码格式：SBC测试默认SBC，友商样机使用苹果测试时默认AAC
</t>
    </r>
  </si>
  <si>
    <t>测试结论</t>
  </si>
  <si>
    <t>2025/6/10-6月09号服务器最新</t>
  </si>
  <si>
    <t>2025/6/17-6月09号的基础上更新到12号最新的蓝牙库</t>
  </si>
  <si>
    <t>测试数据
(单位：米)</t>
  </si>
  <si>
    <t>播歌距离
（SBC）</t>
  </si>
  <si>
    <t>测试手机</t>
  </si>
  <si>
    <t>realme T02 #1</t>
  </si>
  <si>
    <t>realme T02 #2</t>
  </si>
  <si>
    <t>7103D金机-AP3</t>
  </si>
  <si>
    <t>友商样机-5656耳夹式</t>
  </si>
  <si>
    <t>友商样机-5656挂耳式</t>
  </si>
  <si>
    <t>realme-A（BR36)</t>
  </si>
  <si>
    <t>BR56-板载天线样机</t>
  </si>
  <si>
    <t>吴鹏</t>
  </si>
  <si>
    <t>iPhone16</t>
  </si>
  <si>
    <t>114+</t>
  </si>
  <si>
    <t>realmeGT</t>
  </si>
  <si>
    <t>mate50E</t>
  </si>
  <si>
    <t>三星S21</t>
  </si>
  <si>
    <t xml:space="preserve">114+
</t>
  </si>
  <si>
    <t xml:space="preserve">69
</t>
  </si>
  <si>
    <t xml:space="preserve">78
</t>
  </si>
  <si>
    <t>杨妙芸</t>
  </si>
  <si>
    <t>何国平</t>
  </si>
  <si>
    <t>2025/6/12-6月09号的基础上更新到12号最新的蓝牙库</t>
  </si>
  <si>
    <t>播歌距离
（AAC）</t>
  </si>
  <si>
    <t>卡顿自动化测试_模拟干扰环境下卡顿测试</t>
  </si>
  <si>
    <t>设备名称</t>
  </si>
  <si>
    <t xml:space="preserve">射频播放器MP7600 </t>
  </si>
  <si>
    <t>杰理科技园10楼测试房</t>
  </si>
  <si>
    <t xml:space="preserve">
1、测试使用：深圳北所录制的干扰源，循环播放前2分钟，发射功率加pa后，设置为5dBm
2、测试步骤：人站在面对干扰源1m处，模仿走路，手机放置三个不同位置测试，测试时长两分钟
3、测试手机为realme GT
</t>
  </si>
  <si>
    <t>测试音乐</t>
  </si>
  <si>
    <t>测试时间</t>
  </si>
  <si>
    <t>发射功率
(dBm)</t>
  </si>
  <si>
    <t>音频解码
格式</t>
  </si>
  <si>
    <t>测试情景（模拟）</t>
  </si>
  <si>
    <t>realme T02_1#_
最新程序</t>
  </si>
  <si>
    <t>realme T02_2#_
最新程序</t>
  </si>
  <si>
    <t>7103D_金机_AP3</t>
  </si>
  <si>
    <t xml:space="preserve">
卡顿次数</t>
  </si>
  <si>
    <t>realme GT</t>
  </si>
  <si>
    <t>青花瓷</t>
  </si>
  <si>
    <t>2min</t>
  </si>
  <si>
    <t>加pa-5</t>
  </si>
  <si>
    <t>SBC</t>
  </si>
  <si>
    <t>手机手持</t>
  </si>
  <si>
    <t>手机在左前裤袋</t>
  </si>
  <si>
    <t>手机在右后裤袋</t>
  </si>
  <si>
    <t>SBC总卡顿次数与时间</t>
  </si>
  <si>
    <t>RF C-I测试</t>
  </si>
  <si>
    <t>CMW270+N5182A</t>
  </si>
  <si>
    <t>测试步骤</t>
  </si>
  <si>
    <t>选取2477作为通信中心点，4010用-67db发射功率去发包，信号发生器每个频点轮着发干扰信号，干扰信号慢慢加大，直到误码率&gt;0.1的时候，取上一次的干扰强度值</t>
  </si>
  <si>
    <t>Co-channel：≤13dB
C/I 1MHz：≤0dB
C/I 2MHz：≤-30dB
C/I ≥3MHZ：≤-40dB
镜像频率 C/I image:≤-7dB
镜像频率相邻1MHz频点 C/I image±1MHz：≤-20dB
注：包类型2DH5，数据类型PRBS9，测试2477频点C/I，信号强度设为-67dBm</t>
  </si>
  <si>
    <t>品牌测试样机</t>
  </si>
  <si>
    <t>标准SDK</t>
  </si>
  <si>
    <t>Freq1</t>
  </si>
  <si>
    <t>Freq2</t>
  </si>
  <si>
    <t>Freq1-Freq2</t>
  </si>
  <si>
    <t>sig_pwr</t>
  </si>
  <si>
    <t>ci_pwr</t>
  </si>
  <si>
    <t>C/I</t>
  </si>
  <si>
    <t>标准</t>
  </si>
  <si>
    <t>&lt;-40dB</t>
  </si>
  <si>
    <t>&lt;-20dB</t>
  </si>
  <si>
    <t>&lt;-7dB</t>
  </si>
  <si>
    <t>&lt;0dB</t>
  </si>
  <si>
    <t>&lt;13dB</t>
  </si>
  <si>
    <t>&lt;-30dB</t>
  </si>
  <si>
    <r>
      <rPr>
        <b/>
        <sz val="12"/>
        <color rgb="FF000000"/>
        <rFont val="微软雅黑"/>
        <charset val="134"/>
      </rPr>
      <t>RF暗室测试</t>
    </r>
  </si>
  <si>
    <t>综测仪CMW500、暗室RayZone 1800</t>
  </si>
  <si>
    <r>
      <rPr>
        <b/>
        <sz val="10"/>
        <color rgb="FF000000"/>
        <rFont val="微软雅黑"/>
        <charset val="134"/>
      </rPr>
      <t>测试标准</t>
    </r>
  </si>
  <si>
    <r>
      <rPr>
        <sz val="10"/>
        <color rgb="FF000000"/>
        <rFont val="微软雅黑"/>
        <charset val="134"/>
      </rPr>
      <t>空间：TRP &gt;= 2dBm; TIS &lt;= -83dBm;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人模：TRP &gt;= -6dBm; TIS &lt;= -78dBm;</t>
    </r>
  </si>
  <si>
    <r>
      <rPr>
        <b/>
        <sz val="10"/>
        <color rgb="FF000000"/>
        <rFont val="微软雅黑"/>
        <charset val="134"/>
      </rPr>
      <t>芯片传导测试数据</t>
    </r>
  </si>
  <si>
    <r>
      <rPr>
        <b/>
        <sz val="10"/>
        <color rgb="FF000000"/>
        <rFont val="微软雅黑"/>
        <charset val="134"/>
      </rPr>
      <t>测试说明</t>
    </r>
  </si>
  <si>
    <r>
      <rPr>
        <sz val="10"/>
        <color rgb="FF000000"/>
        <rFont val="微软雅黑"/>
        <charset val="134"/>
      </rPr>
      <t>去掉匹配物料，测试RF主控脚，GND就近焊接</t>
    </r>
  </si>
  <si>
    <r>
      <rPr>
        <sz val="10"/>
        <color rgb="FF000000"/>
        <rFont val="微软雅黑"/>
        <charset val="134"/>
      </rPr>
      <t>频点（MHZ）</t>
    </r>
  </si>
  <si>
    <r>
      <rPr>
        <sz val="10"/>
        <color rgb="FF000000"/>
        <rFont val="微软雅黑"/>
        <charset val="134"/>
      </rPr>
      <t>功率/dBm</t>
    </r>
  </si>
  <si>
    <r>
      <rPr>
        <sz val="10"/>
        <color rgb="FF000000"/>
        <rFont val="微软雅黑"/>
        <charset val="134"/>
      </rPr>
      <t>灵敏度/dBm</t>
    </r>
  </si>
  <si>
    <r>
      <rPr>
        <sz val="10"/>
        <color rgb="FF000000"/>
        <rFont val="微软雅黑"/>
        <charset val="134"/>
      </rPr>
      <t>备注</t>
    </r>
  </si>
  <si>
    <r>
      <rPr>
        <sz val="10"/>
        <color rgb="FF000000"/>
        <rFont val="微软雅黑"/>
        <charset val="134"/>
      </rPr>
      <t>R or L</t>
    </r>
  </si>
  <si>
    <r>
      <rPr>
        <sz val="10"/>
        <color rgb="FF000000"/>
        <rFont val="微软雅黑"/>
        <charset val="134"/>
      </rPr>
      <t>天线匹配调试</t>
    </r>
  </si>
  <si>
    <r>
      <rPr>
        <sz val="10"/>
        <color rgb="FF000000"/>
        <rFont val="微软雅黑"/>
        <charset val="134"/>
      </rPr>
      <t>测试说明：</t>
    </r>
  </si>
  <si>
    <r>
      <rPr>
        <sz val="10"/>
        <color rgb="FF000000"/>
        <rFont val="微软雅黑"/>
        <charset val="134"/>
      </rPr>
      <t>Smith/Log mag图</t>
    </r>
  </si>
  <si>
    <r>
      <rPr>
        <sz val="10"/>
        <color rgb="FF000000"/>
        <rFont val="微软雅黑"/>
        <charset val="134"/>
      </rPr>
      <t>L</t>
    </r>
  </si>
  <si>
    <r>
      <rPr>
        <sz val="10"/>
        <color rgb="FF000000"/>
        <rFont val="微软雅黑"/>
        <charset val="134"/>
      </rPr>
      <t>R</t>
    </r>
  </si>
  <si>
    <r>
      <rPr>
        <sz val="10"/>
        <color rgb="FF000000"/>
        <rFont val="微软雅黑"/>
        <charset val="134"/>
      </rPr>
      <t>无源天线效率</t>
    </r>
  </si>
  <si>
    <r>
      <rPr>
        <sz val="10"/>
        <color rgb="FF000000"/>
        <rFont val="微软雅黑"/>
        <charset val="134"/>
      </rPr>
      <t>效率（%）</t>
    </r>
  </si>
  <si>
    <r>
      <rPr>
        <sz val="10"/>
        <color rgb="FF000000"/>
        <rFont val="微软雅黑"/>
        <charset val="134"/>
      </rPr>
      <t>效率（dB）</t>
    </r>
  </si>
  <si>
    <r>
      <rPr>
        <sz val="10"/>
        <color rgb="FF000000"/>
        <rFont val="微软雅黑"/>
        <charset val="134"/>
      </rPr>
      <t>增益（dbi）</t>
    </r>
  </si>
  <si>
    <r>
      <rPr>
        <sz val="10"/>
        <color rgb="FF000000"/>
        <rFont val="微软雅黑"/>
        <charset val="134"/>
      </rPr>
      <t>天线增益</t>
    </r>
  </si>
  <si>
    <r>
      <rPr>
        <sz val="10"/>
        <color rgb="FF000000"/>
        <rFont val="微软雅黑"/>
        <charset val="134"/>
      </rPr>
      <t>天线匹配电路</t>
    </r>
  </si>
  <si>
    <r>
      <rPr>
        <b/>
        <sz val="10"/>
        <color rgb="FF000000"/>
        <rFont val="微软雅黑"/>
        <charset val="134"/>
      </rPr>
      <t>初始状态</t>
    </r>
  </si>
  <si>
    <r>
      <rPr>
        <sz val="10"/>
        <color rgb="FF000000"/>
        <rFont val="微软雅黑"/>
        <charset val="134"/>
      </rPr>
      <t>TRP/dBm</t>
    </r>
  </si>
  <si>
    <r>
      <rPr>
        <sz val="10"/>
        <color rgb="FF000000"/>
        <rFont val="微软雅黑"/>
        <charset val="134"/>
      </rPr>
      <t>TIS/dBm</t>
    </r>
  </si>
  <si>
    <r>
      <rPr>
        <sz val="10"/>
        <color rgb="FF000000"/>
        <rFont val="微软雅黑"/>
        <charset val="134"/>
      </rPr>
      <t>TRP/dbm</t>
    </r>
  </si>
  <si>
    <r>
      <rPr>
        <sz val="10"/>
        <color rgb="FF000000"/>
        <rFont val="微软雅黑"/>
        <charset val="134"/>
      </rPr>
      <t>TIS/dbm</t>
    </r>
  </si>
  <si>
    <t>TIS</t>
  </si>
  <si>
    <t>TRP</t>
  </si>
  <si>
    <t>潘鹏臣</t>
  </si>
  <si>
    <t>iPhone7、华为nova6、三星S8、电话卡2张(支持短号)、三脚架</t>
  </si>
  <si>
    <t>杰理科技园2楼餐厅</t>
  </si>
  <si>
    <r>
      <rPr>
        <sz val="10"/>
        <color rgb="FF000000"/>
        <rFont val="微软雅黑"/>
        <charset val="134"/>
      </rPr>
      <t>先将手机蓝牙连接好待测试样机，音量大小合适；然后将手机固定在专用支架上面，手机打横放置，与墙面保持平行。
1、</t>
    </r>
    <r>
      <rPr>
        <b/>
        <sz val="10"/>
        <color rgb="FF000000"/>
        <rFont val="微软雅黑"/>
        <charset val="134"/>
      </rPr>
      <t>播歌距离</t>
    </r>
    <r>
      <rPr>
        <sz val="10"/>
        <color rgb="FF000000"/>
        <rFont val="微软雅黑"/>
        <charset val="134"/>
      </rPr>
      <t>：
a.选取一直有声音的音乐进行播放，佩戴好耳机进行播歌距离测试
b.每隔3米左右采取转圈一次的方式进行，只要有卡顿就停止测试，然后在卡顿处多次测试，确定好最终的卡顿地点并记录数据
2、</t>
    </r>
    <r>
      <rPr>
        <b/>
        <sz val="10"/>
        <color rgb="FF000000"/>
        <rFont val="微软雅黑"/>
        <charset val="134"/>
      </rPr>
      <t>通话距离：</t>
    </r>
    <r>
      <rPr>
        <sz val="10"/>
        <color rgb="FF000000"/>
        <rFont val="微软雅黑"/>
        <charset val="134"/>
      </rPr>
      <t xml:space="preserve">
a.佩戴好耳机进行通话距离测试，远端手机打给近端手机的短号，远端测试人员一直循环说话“12345”，近端测试人员听“12345”是否有卡顿、变调、或者无声
b.每隔3米左右采取转圈一次的方式进行，只要近端测试人员听到“12345”有卡顿、变调、或者无声就停止测试，然后在此处多次验证测试，确定好最终的地点并记录数据</t>
    </r>
  </si>
  <si>
    <t>播歌距离</t>
  </si>
  <si>
    <t>QCY_HT09
固定主从</t>
  </si>
  <si>
    <t>QCY-TW09  2#
R为主耳</t>
  </si>
  <si>
    <t>iPhone7</t>
  </si>
  <si>
    <t>60+</t>
  </si>
  <si>
    <t>N/A</t>
  </si>
  <si>
    <t>30m左右</t>
  </si>
  <si>
    <t>华为nova6</t>
  </si>
  <si>
    <t>三星S8</t>
  </si>
  <si>
    <t>15m左右</t>
  </si>
  <si>
    <t>通话距离</t>
  </si>
  <si>
    <r>
      <rPr>
        <b/>
        <sz val="14"/>
        <color rgb="FF000000"/>
        <rFont val="微软雅黑"/>
        <charset val="134"/>
      </rPr>
      <t>卡顿自动化测试_模拟干扰环境下卡顿测试</t>
    </r>
  </si>
  <si>
    <r>
      <rPr>
        <b/>
        <sz val="12"/>
        <color rgb="FF000000"/>
        <rFont val="微软雅黑"/>
        <charset val="134"/>
      </rPr>
      <t>测试日期</t>
    </r>
  </si>
  <si>
    <r>
      <rPr>
        <b/>
        <sz val="12"/>
        <color rgb="FF000000"/>
        <rFont val="微软雅黑"/>
        <charset val="134"/>
      </rPr>
      <t>测试人员</t>
    </r>
  </si>
  <si>
    <t>潘鹏臣、李羿</t>
  </si>
  <si>
    <r>
      <rPr>
        <b/>
        <sz val="12"/>
        <color rgb="FF000000"/>
        <rFont val="微软雅黑"/>
        <charset val="134"/>
      </rPr>
      <t>设备名称</t>
    </r>
  </si>
  <si>
    <r>
      <rPr>
        <sz val="12"/>
        <color rgb="FF000000"/>
        <rFont val="微软雅黑"/>
        <charset val="134"/>
      </rPr>
      <t>射频播放器MP7600 人工头 声卡UR44</t>
    </r>
  </si>
  <si>
    <r>
      <rPr>
        <b/>
        <sz val="12"/>
        <color rgb="FF000000"/>
        <rFont val="微软雅黑"/>
        <charset val="134"/>
      </rPr>
      <t>测试地点</t>
    </r>
  </si>
  <si>
    <r>
      <rPr>
        <sz val="12"/>
        <color rgb="FF000000"/>
        <rFont val="微软雅黑"/>
        <charset val="134"/>
      </rPr>
      <t>杰理科技园10楼测试房</t>
    </r>
  </si>
  <si>
    <r>
      <rPr>
        <b/>
        <sz val="12"/>
        <color rgb="FF000000"/>
        <rFont val="微软雅黑"/>
        <charset val="134"/>
      </rPr>
      <t>测试步骤及说明</t>
    </r>
  </si>
  <si>
    <t>1、干扰仪使用广州南站播放源，距离干扰仪60cm，正前方面对干扰仪。
2、干扰仪发射功率设置在-7~10dBm以内时，实际环境的辐射功率要在-44dBm~-36dBm以内。</t>
  </si>
  <si>
    <r>
      <rPr>
        <b/>
        <sz val="12"/>
        <color rgb="FF000000"/>
        <rFont val="微软雅黑"/>
        <charset val="134"/>
      </rPr>
      <t>测试说明</t>
    </r>
  </si>
  <si>
    <r>
      <rPr>
        <sz val="12"/>
        <color rgb="FF000000"/>
        <rFont val="微软雅黑"/>
        <charset val="134"/>
      </rPr>
      <t>1、卡顿时间：算法统计得到的无声音的时间总和。全程无声音时该时间即为测试时间。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2、卡顿次数：算法统计得到的、所有相邻的两个有声音的波形之间无声音的次数。全程无声音时默认为1。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3、测试手机固定为编号109的realme GT，测试前需给测试样机及对比样机进行录音，观看其音频曲线是否削顶，削顶则可调低音量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4、测试AAC和SBC干扰强度得根据实际进行调正，用于对比。</t>
    </r>
  </si>
  <si>
    <r>
      <rPr>
        <b/>
        <sz val="12"/>
        <color rgb="FF000000"/>
        <rFont val="微软雅黑"/>
        <charset val="134"/>
      </rPr>
      <t>测试结论</t>
    </r>
  </si>
  <si>
    <t>PASS
（1）在本次所有测试条件下，QCY_HT09耳机的卡顿次数和卡顿时间都很少；
（2）对比样机realme buds T100，QCY_HT09耳机的抗干扰能力很强。</t>
  </si>
  <si>
    <r>
      <rPr>
        <b/>
        <sz val="12"/>
        <color rgb="FF000000"/>
        <rFont val="微软雅黑"/>
        <charset val="134"/>
      </rPr>
      <t>测试数据</t>
    </r>
  </si>
  <si>
    <r>
      <rPr>
        <sz val="12"/>
        <color rgb="FF000000"/>
        <rFont val="微软雅黑"/>
        <charset val="134"/>
      </rPr>
      <t>测试手机</t>
    </r>
  </si>
  <si>
    <r>
      <rPr>
        <sz val="12"/>
        <color rgb="FF000000"/>
        <rFont val="微软雅黑"/>
        <charset val="134"/>
      </rPr>
      <t>测试音乐</t>
    </r>
  </si>
  <si>
    <r>
      <rPr>
        <sz val="12"/>
        <color rgb="FF000000"/>
        <rFont val="微软雅黑"/>
        <charset val="134"/>
      </rPr>
      <t>测试时间</t>
    </r>
  </si>
  <si>
    <r>
      <rPr>
        <sz val="12"/>
        <color rgb="FF000000"/>
        <rFont val="微软雅黑"/>
        <charset val="134"/>
      </rPr>
      <t>发射功率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(dBm)</t>
    </r>
  </si>
  <si>
    <r>
      <rPr>
        <sz val="12"/>
        <color rgb="FF000000"/>
        <rFont val="微软雅黑"/>
        <charset val="134"/>
      </rPr>
      <t>音频解码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格式</t>
    </r>
  </si>
  <si>
    <r>
      <rPr>
        <sz val="12"/>
        <color rgb="FF000000"/>
        <rFont val="微软雅黑"/>
        <charset val="134"/>
      </rPr>
      <t>测试情景（模拟）</t>
    </r>
  </si>
  <si>
    <t>对比样机：realme buds T100</t>
  </si>
  <si>
    <t>测试样机：QCY_HT09</t>
  </si>
  <si>
    <r>
      <rPr>
        <sz val="12"/>
        <color rgb="FF000000"/>
        <rFont val="微软雅黑"/>
        <charset val="134"/>
      </rPr>
      <t>左耳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卡顿次数</t>
    </r>
  </si>
  <si>
    <r>
      <rPr>
        <sz val="12"/>
        <color rgb="FF000000"/>
        <rFont val="微软雅黑"/>
        <charset val="134"/>
      </rPr>
      <t>右耳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卡顿次数</t>
    </r>
  </si>
  <si>
    <r>
      <rPr>
        <sz val="12"/>
        <color rgb="FF000000"/>
        <rFont val="微软雅黑"/>
        <charset val="134"/>
      </rPr>
      <t>左耳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卡顿时间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(单位：秒)</t>
    </r>
  </si>
  <si>
    <r>
      <rPr>
        <sz val="12"/>
        <color rgb="FF000000"/>
        <rFont val="微软雅黑"/>
        <charset val="134"/>
      </rPr>
      <t>右耳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卡顿时间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(单位：秒)</t>
    </r>
  </si>
  <si>
    <r>
      <rPr>
        <sz val="12"/>
        <color rgb="FF000000"/>
        <rFont val="微软雅黑"/>
        <charset val="134"/>
      </rPr>
      <t>realme GT</t>
    </r>
    <r>
      <rPr>
        <sz val="10"/>
        <rFont val="宋体"/>
        <charset val="134"/>
      </rPr>
      <t xml:space="preserve">
</t>
    </r>
    <r>
      <rPr>
        <sz val="12"/>
        <color rgb="FF000000"/>
        <rFont val="微软雅黑"/>
        <charset val="134"/>
      </rPr>
      <t>(编号109)</t>
    </r>
  </si>
  <si>
    <r>
      <rPr>
        <sz val="12"/>
        <color rgb="FF000000"/>
        <rFont val="微软雅黑"/>
        <charset val="134"/>
      </rPr>
      <t>1kHz正弦波_0dBm</t>
    </r>
  </si>
  <si>
    <r>
      <rPr>
        <sz val="12"/>
        <color rgb="FF000000"/>
        <rFont val="微软雅黑"/>
        <charset val="134"/>
      </rPr>
      <t>每个测试情景2分30秒</t>
    </r>
  </si>
  <si>
    <r>
      <rPr>
        <sz val="12"/>
        <color rgb="FF000000"/>
        <rFont val="微软雅黑"/>
        <charset val="134"/>
      </rPr>
      <t>SBC</t>
    </r>
  </si>
  <si>
    <r>
      <rPr>
        <sz val="12"/>
        <color rgb="FF000000"/>
        <rFont val="微软雅黑"/>
        <charset val="134"/>
      </rPr>
      <t>右手拿手机</t>
    </r>
  </si>
  <si>
    <r>
      <rPr>
        <sz val="12"/>
        <color rgb="FF000000"/>
        <rFont val="微软雅黑"/>
        <charset val="134"/>
      </rPr>
      <t>手机在左前裤袋</t>
    </r>
  </si>
  <si>
    <r>
      <rPr>
        <sz val="12"/>
        <color rgb="FF000000"/>
        <rFont val="微软雅黑"/>
        <charset val="134"/>
      </rPr>
      <t>手机在右后裤袋</t>
    </r>
  </si>
  <si>
    <r>
      <rPr>
        <sz val="12"/>
        <color rgb="FF000000"/>
        <rFont val="微软雅黑"/>
        <charset val="134"/>
      </rPr>
      <t>SBC总卡顿次数与时间</t>
    </r>
  </si>
  <si>
    <r>
      <rPr>
        <sz val="12"/>
        <color rgb="FF000000"/>
        <rFont val="微软雅黑"/>
        <charset val="134"/>
      </rPr>
      <t>AAC</t>
    </r>
  </si>
  <si>
    <r>
      <rPr>
        <sz val="12"/>
        <color rgb="FF000000"/>
        <rFont val="微软雅黑"/>
        <charset val="134"/>
      </rPr>
      <t>AAC总卡顿次数与时间</t>
    </r>
  </si>
  <si>
    <t>杂音测试</t>
  </si>
  <si>
    <t>1、用人工耳配合测试
2、整机在消声房中用人耳实际听</t>
  </si>
  <si>
    <t>测试项</t>
  </si>
  <si>
    <t>测试场景</t>
  </si>
  <si>
    <t>测试判断和标准</t>
  </si>
  <si>
    <t>开机第一次出声无“po”声</t>
  </si>
  <si>
    <t>开机观察是否有"po"的一声出来，开关机多次验证</t>
  </si>
  <si>
    <t>提示音播放前后无杂音</t>
  </si>
  <si>
    <t>观察提示音前后杂音异常</t>
  </si>
  <si>
    <t>播放静音数据且音量开到最大无杂音</t>
  </si>
  <si>
    <t>播放静音文件，一直加音量无杂音异常</t>
  </si>
  <si>
    <t>播放歌曲音量调到0无杂音</t>
  </si>
  <si>
    <t>播放静音文件，一直减音量无杂音异常</t>
  </si>
  <si>
    <t>暂停播放无杂音</t>
  </si>
  <si>
    <t>播歌暂停时，无任何杂音情况</t>
  </si>
  <si>
    <t>回连无杂音</t>
  </si>
  <si>
    <t>断开后回连，观察杂音情况</t>
  </si>
  <si>
    <t>进出sniff无杂音</t>
  </si>
  <si>
    <t>进出sniff时，观察杂音的情况</t>
  </si>
  <si>
    <t>通话远端静音无高频声</t>
  </si>
  <si>
    <t>远端静音时，观察杂音啥情况</t>
  </si>
  <si>
    <t>回声消除</t>
  </si>
  <si>
    <t>通话时远端说话，边说边听是否有自己的回音</t>
  </si>
  <si>
    <t>啸叫</t>
  </si>
  <si>
    <t>把喇叭靠近mic,看是否有异常叫声</t>
  </si>
  <si>
    <t>通话降噪效果</t>
  </si>
  <si>
    <t>播放不同场景（咖啡厅、地铁、酒吧、超市等）的测试噪声，分别录制一个开降噪和一个关降噪的音源，主观评判降噪效果</t>
  </si>
  <si>
    <t>ANC耳机测试验收表</t>
  </si>
  <si>
    <t>产品型号</t>
  </si>
  <si>
    <t>QCY_HT09</t>
  </si>
  <si>
    <t>客户名称</t>
  </si>
  <si>
    <t>QCY</t>
  </si>
  <si>
    <t>芯片型号</t>
  </si>
  <si>
    <t>JL7006F6</t>
  </si>
  <si>
    <t>产品形态</t>
  </si>
  <si>
    <t>TWS</t>
  </si>
  <si>
    <t>降噪类型</t>
  </si>
  <si>
    <t>Hybrid</t>
  </si>
  <si>
    <t>测试工程</t>
  </si>
  <si>
    <t>验收项目</t>
  </si>
  <si>
    <t>验收方法</t>
  </si>
  <si>
    <t>降噪性能</t>
  </si>
  <si>
    <t>消音室测试各模式曲线图
(空载、PNC、ANC、通透)</t>
  </si>
  <si>
    <t>消音室测试降噪量曲线图
(FF/FB≥25dB、Hybrid≥30dB)</t>
  </si>
  <si>
    <t>消音室音响播放20~2KHz频段粉噪，测试者佩戴耳机对比体验ANC ON模式降噪性能与增噪情况</t>
  </si>
  <si>
    <t>消音室音响播放2K~20KHz频段粉噪，测试者佩戴耳机对比体验ANC ON模式降噪性能与增噪情况</t>
  </si>
  <si>
    <t>该频率区间降噪性能不明显</t>
  </si>
  <si>
    <t>办公室环境下，测试者佩戴耳机对比体验ANC ON模式降噪性能与增噪情况</t>
  </si>
  <si>
    <t>户外环境下，测试者佩戴耳机对比体验ANC ON模式降噪性能与增噪情况</t>
  </si>
  <si>
    <t>稳定性</t>
  </si>
  <si>
    <t>测试者手持耳机，切入ANC ON模式，用手挤压耳帽（耳罩），耳机不出现啸叫</t>
  </si>
  <si>
    <t>测试者佩戴耳机，切入ANC ON模式，用手挤压耳机，耳机不出现啸叫或异响</t>
  </si>
  <si>
    <t>测试者佩戴耳机，切入ANC ON模式，反复弹跳或摇头，耳机不出现异响</t>
  </si>
  <si>
    <t>测试者佩戴耳机，切入ANC ON模式，户外坐公交体验过减速带或坑洼颠簸路段时耳机不出现异响</t>
  </si>
  <si>
    <t>平衡度</t>
  </si>
  <si>
    <t>消音室测试左右耳降噪量曲线图
(100-2KHz频段，左右耳相差≤2dB)</t>
  </si>
  <si>
    <t>消音室音响播放白噪，测试者360°转身对噪声源，对比体验ANC ON模式左右耳降噪平衡度一致</t>
  </si>
  <si>
    <t>办公室环境下，测试者对比体验ANC ON模式左右耳降噪平衡度一致</t>
  </si>
  <si>
    <t>户外环境下，测试者对比体验ANC ON模式左右耳降噪平衡度一致</t>
  </si>
  <si>
    <t>频响（CMP测试）</t>
  </si>
  <si>
    <t>消音室人工耳测试耳机50%音量下ANC OFF与ANC ON模式A2DP频响曲线对比图
(20-20KHz频段，频响相差≤1dB)</t>
  </si>
  <si>
    <t>消音室人工耳测试耳机100%音量下ANC OFF与ANC ON模式A2DP频响曲线对比图
(20-20KHz频段，频响相差≤1dB)</t>
  </si>
  <si>
    <t>测试者佩戴耳机，连接手机蓝牙播放歌曲，切换普通模式与ANC模式，对比测试播歌音质无明显差别</t>
  </si>
  <si>
    <t>测试者佩戴耳机，连接手机蓝牙播放歌曲，切换ANC模式，调节大音量测试不失真</t>
  </si>
  <si>
    <t>底噪</t>
  </si>
  <si>
    <t>消音室BK人头测试ANC OFF模式下silence声学频域图
(20-20KHz频段，各噪声tone≤-130dBV)</t>
  </si>
  <si>
    <t>消音室BK人头测试ANC ON模式下silence声学频域图
(20-20KHz频段，各噪声tone≤-130dBV)</t>
  </si>
  <si>
    <t>消音室BK人头测试通透模式下silence声学频域图
(20-20KHz频段，各噪声tone≤-130dBV)</t>
  </si>
  <si>
    <t>ENC效果测试</t>
  </si>
  <si>
    <t>郑海涛、潘鹏臣、李羿</t>
  </si>
  <si>
    <t>MegaSig测试仪器</t>
  </si>
  <si>
    <t>降噪角度：-60°~75°</t>
  </si>
  <si>
    <t>ENC效果录音测试</t>
  </si>
  <si>
    <t>A5音频分析仪，Nobsound音箱，带人工嘴人头</t>
  </si>
  <si>
    <t>1、消音房内人头正前方喇叭播放噪音，人工嘴播放人声。
2、对此时耳机MIC的数据进行录音。</t>
  </si>
  <si>
    <t>测试条件</t>
  </si>
  <si>
    <t>人声（db）</t>
  </si>
  <si>
    <t>噪声种类</t>
  </si>
  <si>
    <t>db</t>
  </si>
  <si>
    <t>信噪比(db)</t>
  </si>
  <si>
    <t>公园</t>
  </si>
  <si>
    <t>汽车</t>
  </si>
  <si>
    <t>餐馆</t>
  </si>
  <si>
    <t>交通</t>
  </si>
  <si>
    <t>白噪</t>
  </si>
  <si>
    <t>纯人声</t>
  </si>
  <si>
    <t>公园 - 人声</t>
  </si>
  <si>
    <t>汽车 - 人声</t>
  </si>
  <si>
    <t>餐馆 - 人声</t>
  </si>
  <si>
    <t>交通 - 人声</t>
  </si>
  <si>
    <t>白噪 - 人声</t>
  </si>
  <si>
    <t>1、消音房内人头90°喇叭播放噪音，人工嘴播放人声。
2、对此时耳机MIC的数据进行录音。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</si>
</sst>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  <numFmt numFmtId="177" formatCode="0.00_ "/>
    <numFmt numFmtId="178" formatCode="#,##0.00_ "/>
    <numFmt numFmtId="179" formatCode="#,##0_ "/>
    <numFmt numFmtId="180" formatCode="0.000_ "/>
    <numFmt numFmtId="181" formatCode="0.0_ "/>
    <numFmt numFmtId="182" formatCode="[DBNum1][$-804]General"/>
    <numFmt numFmtId="183" formatCode="0.000000_ "/>
  </numFmts>
  <fonts count="46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b/>
      <sz val="10"/>
      <color rgb="FF000000"/>
      <name val="宋体"/>
      <charset val="134"/>
    </font>
    <font>
      <b/>
      <sz val="20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4"/>
      <color rgb="FF000000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FABF8F"/>
      <name val="宋体"/>
      <charset val="134"/>
    </font>
    <font>
      <sz val="10"/>
      <color rgb="FF171A1D"/>
      <name val="微软雅黑"/>
      <charset val="134"/>
    </font>
    <font>
      <sz val="12"/>
      <color rgb="FF171A1D"/>
      <name val="微软雅黑"/>
      <charset val="134"/>
    </font>
    <font>
      <b/>
      <sz val="1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6"/>
      <color rgb="FF000000"/>
      <name val="微软雅黑"/>
      <charset val="134"/>
    </font>
    <font>
      <b/>
      <sz val="18"/>
      <color rgb="FF000000"/>
      <name val="微软雅黑"/>
      <charset val="134"/>
    </font>
    <font>
      <u/>
      <sz val="12"/>
      <color rgb="FF0070C0"/>
      <name val="微软雅黑"/>
      <charset val="134"/>
    </font>
    <font>
      <u/>
      <sz val="12"/>
      <color rgb="FF0070C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rgb="FFC6D9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9" borderId="1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0" borderId="20" applyNumberFormat="0" applyAlignment="0" applyProtection="0">
      <alignment vertical="center"/>
    </xf>
    <xf numFmtId="0" fontId="35" fillId="21" borderId="21" applyNumberFormat="0" applyAlignment="0" applyProtection="0">
      <alignment vertical="center"/>
    </xf>
    <xf numFmtId="0" fontId="36" fillId="21" borderId="20" applyNumberFormat="0" applyAlignment="0" applyProtection="0">
      <alignment vertical="center"/>
    </xf>
    <xf numFmtId="0" fontId="37" fillId="22" borderId="22" applyNumberForma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</xf>
    <xf numFmtId="14" fontId="5" fillId="0" borderId="4" xfId="0" applyNumberFormat="1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wrapText="1"/>
    </xf>
    <xf numFmtId="0" fontId="8" fillId="0" borderId="4" xfId="0" applyFont="1" applyBorder="1" applyAlignment="1" applyProtection="1">
      <alignment horizontal="center"/>
    </xf>
    <xf numFmtId="0" fontId="8" fillId="0" borderId="4" xfId="0" applyFont="1" applyBorder="1" applyAlignment="1" applyProtection="1">
      <alignment horizontal="center" vertical="center"/>
    </xf>
    <xf numFmtId="0" fontId="1" fillId="0" borderId="0" xfId="0" applyFont="1">
      <alignment vertical="center"/>
    </xf>
    <xf numFmtId="0" fontId="9" fillId="2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left" vertical="center"/>
    </xf>
    <xf numFmtId="0" fontId="10" fillId="0" borderId="4" xfId="0" applyFont="1" applyBorder="1" applyAlignment="1" applyProtection="1">
      <alignment horizontal="center" vertical="center"/>
    </xf>
    <xf numFmtId="0" fontId="10" fillId="3" borderId="4" xfId="0" applyFont="1" applyFill="1" applyBorder="1" applyProtection="1">
      <alignment vertical="center"/>
    </xf>
    <xf numFmtId="58" fontId="10" fillId="0" borderId="4" xfId="0" applyNumberFormat="1" applyFont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10" fillId="3" borderId="8" xfId="0" applyFont="1" applyFill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vertical="center" wrapText="1"/>
    </xf>
    <xf numFmtId="0" fontId="10" fillId="0" borderId="4" xfId="0" applyFont="1" applyBorder="1" applyProtection="1">
      <alignment vertical="center"/>
    </xf>
    <xf numFmtId="0" fontId="10" fillId="3" borderId="9" xfId="0" applyFont="1" applyFill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left" vertical="center"/>
    </xf>
    <xf numFmtId="0" fontId="11" fillId="0" borderId="4" xfId="0" applyFont="1" applyBorder="1" applyProtection="1">
      <alignment vertical="center"/>
    </xf>
    <xf numFmtId="0" fontId="10" fillId="3" borderId="10" xfId="0" applyFont="1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4" xfId="0" applyFont="1" applyBorder="1" applyAlignment="1" applyProtection="1">
      <alignment horizontal="left" vertical="center" wrapText="1"/>
    </xf>
    <xf numFmtId="0" fontId="4" fillId="4" borderId="4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wrapText="1"/>
    </xf>
    <xf numFmtId="0" fontId="5" fillId="0" borderId="3" xfId="0" applyFont="1" applyBorder="1" applyAlignment="1" applyProtection="1">
      <alignment horizontal="center" wrapText="1"/>
    </xf>
    <xf numFmtId="0" fontId="5" fillId="0" borderId="1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12" fillId="2" borderId="1" xfId="0" applyFont="1" applyFill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14" fontId="10" fillId="0" borderId="4" xfId="0" applyNumberFormat="1" applyFont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10" fillId="0" borderId="4" xfId="0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 wrapText="1"/>
    </xf>
    <xf numFmtId="0" fontId="3" fillId="4" borderId="8" xfId="0" applyFont="1" applyFill="1" applyBorder="1" applyAlignment="1" applyProtection="1">
      <alignment horizontal="left" vertical="center" wrapText="1"/>
    </xf>
    <xf numFmtId="49" fontId="10" fillId="0" borderId="4" xfId="0" applyNumberFormat="1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176" fontId="10" fillId="0" borderId="4" xfId="0" applyNumberFormat="1" applyFont="1" applyBorder="1" applyAlignment="1" applyProtection="1">
      <alignment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left" vertical="center"/>
    </xf>
    <xf numFmtId="0" fontId="5" fillId="0" borderId="4" xfId="0" applyFont="1" applyBorder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vertical="center" wrapText="1"/>
    </xf>
    <xf numFmtId="177" fontId="5" fillId="0" borderId="4" xfId="0" applyNumberFormat="1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left" vertical="top" wrapText="1"/>
    </xf>
    <xf numFmtId="0" fontId="5" fillId="0" borderId="4" xfId="0" applyFont="1" applyBorder="1" applyAlignment="1" applyProtection="1">
      <alignment horizontal="center" vertical="top" wrapText="1"/>
    </xf>
    <xf numFmtId="0" fontId="4" fillId="4" borderId="4" xfId="0" applyFont="1" applyFill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49" fontId="5" fillId="0" borderId="4" xfId="0" applyNumberFormat="1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3" fillId="5" borderId="5" xfId="0" applyFont="1" applyFill="1" applyBorder="1" applyAlignment="1" applyProtection="1">
      <alignment horizontal="center" vertical="center"/>
    </xf>
    <xf numFmtId="14" fontId="5" fillId="3" borderId="4" xfId="0" applyNumberFormat="1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 wrapText="1"/>
    </xf>
    <xf numFmtId="178" fontId="5" fillId="6" borderId="4" xfId="0" applyNumberFormat="1" applyFont="1" applyFill="1" applyBorder="1" applyAlignment="1" applyProtection="1">
      <alignment horizontal="center" vertical="center"/>
    </xf>
    <xf numFmtId="179" fontId="5" fillId="6" borderId="4" xfId="0" applyNumberFormat="1" applyFont="1" applyFill="1" applyBorder="1" applyAlignment="1" applyProtection="1">
      <alignment horizontal="center" vertical="center"/>
    </xf>
    <xf numFmtId="0" fontId="5" fillId="7" borderId="10" xfId="0" applyFont="1" applyFill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5" fillId="7" borderId="4" xfId="0" applyFont="1" applyFill="1" applyBorder="1" applyAlignment="1" applyProtection="1">
      <alignment horizontal="center" vertical="center" wrapText="1"/>
    </xf>
    <xf numFmtId="9" fontId="5" fillId="6" borderId="4" xfId="0" applyNumberFormat="1" applyFont="1" applyFill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180" fontId="5" fillId="6" borderId="4" xfId="0" applyNumberFormat="1" applyFont="1" applyFill="1" applyBorder="1" applyAlignment="1" applyProtection="1">
      <alignment horizontal="center" vertical="center"/>
    </xf>
    <xf numFmtId="0" fontId="5" fillId="8" borderId="4" xfId="0" applyFont="1" applyFill="1" applyBorder="1" applyAlignment="1" applyProtection="1">
      <alignment horizontal="center" vertical="center" wrapText="1"/>
    </xf>
    <xf numFmtId="0" fontId="5" fillId="3" borderId="4" xfId="0" applyFont="1" applyFill="1" applyBorder="1" applyAlignment="1" applyProtection="1">
      <alignment horizontal="center" vertical="center"/>
    </xf>
    <xf numFmtId="0" fontId="6" fillId="0" borderId="0" xfId="0" applyFont="1">
      <alignment vertical="center"/>
    </xf>
    <xf numFmtId="0" fontId="14" fillId="0" borderId="0" xfId="0" applyFont="1" applyAlignment="1"/>
    <xf numFmtId="0" fontId="2" fillId="0" borderId="0" xfId="0" applyFont="1" applyAlignment="1">
      <alignment horizontal="center" vertical="center"/>
    </xf>
    <xf numFmtId="0" fontId="15" fillId="0" borderId="0" xfId="0" applyFont="1" applyAlignment="1"/>
    <xf numFmtId="0" fontId="4" fillId="9" borderId="4" xfId="0" applyFont="1" applyFill="1" applyBorder="1" applyAlignment="1" applyProtection="1">
      <alignment horizontal="center" vertical="center"/>
    </xf>
    <xf numFmtId="14" fontId="5" fillId="0" borderId="4" xfId="0" applyNumberFormat="1" applyFont="1" applyBorder="1" applyAlignment="1" applyProtection="1">
      <alignment horizontal="left" vertical="center"/>
    </xf>
    <xf numFmtId="0" fontId="4" fillId="9" borderId="8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 wrapText="1"/>
    </xf>
    <xf numFmtId="0" fontId="4" fillId="10" borderId="4" xfId="0" applyFont="1" applyFill="1" applyBorder="1" applyAlignment="1" applyProtection="1">
      <alignment horizontal="center" vertical="center"/>
    </xf>
    <xf numFmtId="0" fontId="6" fillId="0" borderId="4" xfId="0" applyFont="1" applyBorder="1" applyProtection="1">
      <alignment vertical="center"/>
    </xf>
    <xf numFmtId="0" fontId="6" fillId="4" borderId="4" xfId="0" applyFont="1" applyFill="1" applyBorder="1" applyAlignment="1" applyProtection="1">
      <alignment horizontal="center" vertical="center"/>
    </xf>
    <xf numFmtId="0" fontId="4" fillId="11" borderId="4" xfId="0" applyFont="1" applyFill="1" applyBorder="1" applyAlignment="1" applyProtection="1">
      <alignment horizontal="center" vertical="center"/>
    </xf>
    <xf numFmtId="0" fontId="16" fillId="0" borderId="4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center" vertical="center"/>
    </xf>
    <xf numFmtId="0" fontId="5" fillId="0" borderId="4" xfId="0" applyFont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5" fillId="0" borderId="0" xfId="0" applyFont="1" applyAlignment="1">
      <alignment horizontal="center" vertical="center" wrapText="1"/>
    </xf>
    <xf numFmtId="0" fontId="3" fillId="7" borderId="3" xfId="0" applyFont="1" applyFill="1" applyBorder="1" applyAlignment="1" applyProtection="1">
      <alignment horizontal="center" vertical="center"/>
    </xf>
    <xf numFmtId="0" fontId="3" fillId="7" borderId="4" xfId="0" applyFont="1" applyFill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0" fontId="17" fillId="0" borderId="4" xfId="0" applyFont="1" applyBorder="1" applyAlignment="1" applyProtection="1">
      <alignment horizontal="center"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0" fontId="12" fillId="2" borderId="2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/>
    </xf>
    <xf numFmtId="14" fontId="5" fillId="0" borderId="4" xfId="0" applyNumberFormat="1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left" vertical="center"/>
    </xf>
    <xf numFmtId="0" fontId="5" fillId="0" borderId="4" xfId="0" applyFont="1" applyFill="1" applyBorder="1" applyAlignment="1" applyProtection="1">
      <alignment horizontal="left" vertical="center" wrapText="1"/>
    </xf>
    <xf numFmtId="0" fontId="18" fillId="3" borderId="4" xfId="0" applyFont="1" applyFill="1" applyBorder="1" applyAlignment="1" applyProtection="1">
      <alignment horizontal="center" vertical="center" wrapText="1"/>
    </xf>
    <xf numFmtId="0" fontId="4" fillId="0" borderId="4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horizontal="center" vertical="center" wrapText="1"/>
    </xf>
    <xf numFmtId="49" fontId="5" fillId="0" borderId="4" xfId="0" applyNumberFormat="1" applyFont="1" applyFill="1" applyBorder="1" applyAlignment="1" applyProtection="1">
      <alignment horizontal="center" vertical="center" wrapText="1"/>
    </xf>
    <xf numFmtId="0" fontId="5" fillId="12" borderId="4" xfId="0" applyFont="1" applyFill="1" applyBorder="1" applyAlignment="1" applyProtection="1">
      <alignment horizontal="center" vertical="center" wrapText="1"/>
    </xf>
    <xf numFmtId="0" fontId="5" fillId="12" borderId="4" xfId="0" applyFont="1" applyFill="1" applyBorder="1" applyAlignment="1" applyProtection="1">
      <alignment horizontal="center" vertical="center"/>
    </xf>
    <xf numFmtId="0" fontId="5" fillId="13" borderId="4" xfId="0" applyFont="1" applyFill="1" applyBorder="1" applyAlignment="1" applyProtection="1">
      <alignment horizontal="center" vertical="center"/>
    </xf>
    <xf numFmtId="0" fontId="5" fillId="13" borderId="4" xfId="0" applyFont="1" applyFill="1" applyBorder="1" applyAlignment="1" applyProtection="1">
      <alignment horizontal="center" vertical="center" wrapText="1"/>
    </xf>
    <xf numFmtId="0" fontId="5" fillId="14" borderId="4" xfId="0" applyFont="1" applyFill="1" applyBorder="1" applyAlignment="1" applyProtection="1">
      <alignment horizontal="center" vertical="center"/>
    </xf>
    <xf numFmtId="0" fontId="5" fillId="14" borderId="4" xfId="0" applyFont="1" applyFill="1" applyBorder="1" applyAlignment="1" applyProtection="1">
      <alignment horizontal="center" vertical="center" wrapText="1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3" fillId="15" borderId="12" xfId="0" applyFont="1" applyFill="1" applyBorder="1" applyAlignment="1" applyProtection="1">
      <alignment horizontal="center" vertical="center" wrapText="1"/>
    </xf>
    <xf numFmtId="0" fontId="4" fillId="0" borderId="12" xfId="0" applyFont="1" applyFill="1" applyBorder="1" applyAlignment="1" applyProtection="1">
      <alignment horizontal="center" vertical="center"/>
    </xf>
    <xf numFmtId="14" fontId="5" fillId="0" borderId="12" xfId="0" applyNumberFormat="1" applyFont="1" applyFill="1" applyBorder="1" applyAlignment="1" applyProtection="1">
      <alignment horizontal="center" vertical="center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left" vertical="center"/>
    </xf>
    <xf numFmtId="0" fontId="5" fillId="0" borderId="12" xfId="0" applyFont="1" applyFill="1" applyBorder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vertical="center" wrapText="1"/>
    </xf>
    <xf numFmtId="177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left" vertical="top" wrapText="1"/>
    </xf>
    <xf numFmtId="0" fontId="18" fillId="0" borderId="10" xfId="0" applyFont="1" applyFill="1" applyBorder="1" applyAlignment="1" applyProtection="1">
      <alignment horizontal="center" vertical="center"/>
    </xf>
    <xf numFmtId="0" fontId="18" fillId="0" borderId="10" xfId="0" applyFont="1" applyFill="1" applyBorder="1" applyAlignment="1" applyProtection="1">
      <alignment horizontal="center" vertical="center" wrapText="1"/>
    </xf>
    <xf numFmtId="58" fontId="4" fillId="0" borderId="4" xfId="0" applyNumberFormat="1" applyFont="1" applyFill="1" applyBorder="1" applyAlignment="1" applyProtection="1">
      <alignment horizontal="center" vertical="center"/>
    </xf>
    <xf numFmtId="58" fontId="18" fillId="0" borderId="4" xfId="0" applyNumberFormat="1" applyFont="1" applyFill="1" applyBorder="1" applyAlignment="1" applyProtection="1">
      <alignment horizontal="center" vertical="center"/>
    </xf>
    <xf numFmtId="58" fontId="18" fillId="0" borderId="10" xfId="0" applyNumberFormat="1" applyFont="1" applyFill="1" applyBorder="1" applyAlignment="1" applyProtection="1">
      <alignment horizontal="center" vertical="center"/>
    </xf>
    <xf numFmtId="0" fontId="19" fillId="12" borderId="4" xfId="0" applyFont="1" applyFill="1" applyBorder="1" applyAlignment="1" applyProtection="1">
      <alignment horizontal="center" vertical="center" wrapText="1"/>
    </xf>
    <xf numFmtId="0" fontId="19" fillId="13" borderId="4" xfId="0" applyFont="1" applyFill="1" applyBorder="1" applyAlignment="1" applyProtection="1">
      <alignment horizontal="center" vertical="center" wrapText="1"/>
    </xf>
    <xf numFmtId="0" fontId="19" fillId="14" borderId="4" xfId="0" applyFont="1" applyFill="1" applyBorder="1" applyAlignment="1" applyProtection="1">
      <alignment horizontal="center" vertical="center" wrapText="1"/>
    </xf>
    <xf numFmtId="0" fontId="5" fillId="16" borderId="4" xfId="0" applyFont="1" applyFill="1" applyBorder="1" applyAlignment="1" applyProtection="1">
      <alignment horizontal="center" vertical="center" wrapText="1"/>
    </xf>
    <xf numFmtId="0" fontId="19" fillId="16" borderId="4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3" fillId="2" borderId="8" xfId="0" applyFont="1" applyFill="1" applyBorder="1" applyAlignment="1" applyProtection="1">
      <alignment horizontal="center" vertical="center" wrapText="1"/>
    </xf>
    <xf numFmtId="14" fontId="5" fillId="0" borderId="1" xfId="0" applyNumberFormat="1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left" vertical="center"/>
    </xf>
    <xf numFmtId="0" fontId="4" fillId="4" borderId="8" xfId="0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vertical="center" wrapText="1"/>
    </xf>
    <xf numFmtId="0" fontId="19" fillId="0" borderId="1" xfId="0" applyFont="1" applyBorder="1" applyAlignment="1" applyProtection="1">
      <alignment horizontal="center" vertical="center" wrapText="1"/>
    </xf>
    <xf numFmtId="0" fontId="19" fillId="0" borderId="2" xfId="0" applyFont="1" applyBorder="1" applyAlignment="1" applyProtection="1">
      <alignment horizontal="center" vertical="center" wrapText="1"/>
    </xf>
    <xf numFmtId="0" fontId="19" fillId="0" borderId="3" xfId="0" applyFont="1" applyBorder="1" applyAlignment="1" applyProtection="1">
      <alignment horizontal="center" vertical="center" wrapText="1"/>
    </xf>
    <xf numFmtId="177" fontId="4" fillId="0" borderId="4" xfId="0" applyNumberFormat="1" applyFont="1" applyBorder="1" applyProtection="1">
      <alignment vertical="center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14" xfId="0" applyFont="1" applyBorder="1" applyAlignment="1" applyProtection="1">
      <alignment horizontal="center" vertical="center"/>
    </xf>
    <xf numFmtId="180" fontId="5" fillId="0" borderId="4" xfId="0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3" fillId="5" borderId="8" xfId="0" applyFont="1" applyFill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181" fontId="4" fillId="0" borderId="4" xfId="0" applyNumberFormat="1" applyFont="1" applyBorder="1" applyAlignment="1" applyProtection="1">
      <alignment horizontal="center" vertical="center" wrapText="1"/>
    </xf>
    <xf numFmtId="182" fontId="4" fillId="0" borderId="4" xfId="0" applyNumberFormat="1" applyFont="1" applyBorder="1" applyAlignment="1" applyProtection="1">
      <alignment horizontal="center" vertical="center" wrapText="1"/>
    </xf>
    <xf numFmtId="182" fontId="5" fillId="0" borderId="4" xfId="0" applyNumberFormat="1" applyFont="1" applyBorder="1" applyAlignment="1" applyProtection="1">
      <alignment horizontal="center" vertical="center" wrapText="1"/>
    </xf>
    <xf numFmtId="182" fontId="5" fillId="0" borderId="1" xfId="0" applyNumberFormat="1" applyFont="1" applyBorder="1" applyAlignment="1" applyProtection="1">
      <alignment horizontal="center" vertical="center" wrapText="1"/>
    </xf>
    <xf numFmtId="182" fontId="5" fillId="0" borderId="5" xfId="0" applyNumberFormat="1" applyFont="1" applyBorder="1" applyAlignment="1" applyProtection="1">
      <alignment horizontal="center" vertical="center" wrapText="1"/>
    </xf>
    <xf numFmtId="181" fontId="5" fillId="0" borderId="4" xfId="0" applyNumberFormat="1" applyFont="1" applyBorder="1" applyAlignment="1" applyProtection="1">
      <alignment horizontal="center" vertical="center" wrapText="1"/>
    </xf>
    <xf numFmtId="181" fontId="5" fillId="0" borderId="3" xfId="0" applyNumberFormat="1" applyFont="1" applyBorder="1" applyAlignment="1" applyProtection="1">
      <alignment horizontal="center" vertical="center" wrapText="1"/>
    </xf>
    <xf numFmtId="182" fontId="5" fillId="0" borderId="8" xfId="0" applyNumberFormat="1" applyFont="1" applyBorder="1" applyAlignment="1" applyProtection="1">
      <alignment horizontal="center" vertical="center" wrapText="1"/>
    </xf>
    <xf numFmtId="181" fontId="5" fillId="0" borderId="8" xfId="0" applyNumberFormat="1" applyFont="1" applyBorder="1" applyAlignment="1" applyProtection="1">
      <alignment horizontal="center" vertical="center" wrapText="1"/>
    </xf>
    <xf numFmtId="182" fontId="5" fillId="0" borderId="4" xfId="0" applyNumberFormat="1" applyFont="1" applyBorder="1" applyAlignment="1" applyProtection="1">
      <alignment vertical="center" wrapText="1"/>
    </xf>
    <xf numFmtId="0" fontId="5" fillId="0" borderId="15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183" fontId="5" fillId="0" borderId="4" xfId="0" applyNumberFormat="1" applyFont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5" borderId="2" xfId="0" applyFont="1" applyFill="1" applyBorder="1" applyAlignment="1" applyProtection="1">
      <alignment horizontal="center" vertical="center"/>
    </xf>
    <xf numFmtId="14" fontId="5" fillId="3" borderId="1" xfId="0" applyNumberFormat="1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 wrapText="1"/>
    </xf>
    <xf numFmtId="0" fontId="5" fillId="0" borderId="16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 wrapText="1"/>
    </xf>
    <xf numFmtId="0" fontId="4" fillId="0" borderId="13" xfId="0" applyFont="1" applyBorder="1" applyAlignment="1" applyProtection="1">
      <alignment horizontal="center" vertical="center" wrapText="1"/>
    </xf>
    <xf numFmtId="0" fontId="19" fillId="6" borderId="4" xfId="0" applyFont="1" applyFill="1" applyBorder="1" applyAlignment="1" applyProtection="1">
      <alignment horizontal="center" vertical="center"/>
    </xf>
    <xf numFmtId="0" fontId="5" fillId="6" borderId="4" xfId="0" applyFont="1" applyFill="1" applyBorder="1" applyAlignment="1" applyProtection="1">
      <alignment horizontal="center" vertical="center"/>
    </xf>
    <xf numFmtId="0" fontId="5" fillId="8" borderId="10" xfId="0" applyFont="1" applyFill="1" applyBorder="1" applyAlignment="1" applyProtection="1">
      <alignment horizontal="center" vertical="center" wrapText="1"/>
    </xf>
    <xf numFmtId="0" fontId="5" fillId="8" borderId="8" xfId="0" applyFont="1" applyFill="1" applyBorder="1" applyAlignment="1" applyProtection="1">
      <alignment horizontal="center" vertical="center" wrapText="1"/>
    </xf>
    <xf numFmtId="0" fontId="5" fillId="3" borderId="8" xfId="0" applyFont="1" applyFill="1" applyBorder="1" applyAlignment="1" applyProtection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5" borderId="3" xfId="0" applyFont="1" applyFill="1" applyBorder="1" applyAlignment="1" applyProtection="1">
      <alignment horizontal="center" vertical="center"/>
    </xf>
    <xf numFmtId="0" fontId="5" fillId="6" borderId="8" xfId="0" applyFont="1" applyFill="1" applyBorder="1" applyAlignment="1" applyProtection="1">
      <alignment horizontal="center" vertical="center"/>
    </xf>
    <xf numFmtId="0" fontId="3" fillId="5" borderId="4" xfId="0" applyFont="1" applyFill="1" applyBorder="1" applyAlignment="1" applyProtection="1">
      <alignment horizontal="center" vertical="center"/>
    </xf>
    <xf numFmtId="0" fontId="4" fillId="17" borderId="4" xfId="0" applyFont="1" applyFill="1" applyBorder="1" applyAlignment="1" applyProtection="1">
      <alignment horizontal="center" vertical="center"/>
    </xf>
    <xf numFmtId="9" fontId="5" fillId="0" borderId="8" xfId="0" applyNumberFormat="1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vertical="top"/>
    </xf>
    <xf numFmtId="0" fontId="5" fillId="18" borderId="4" xfId="0" applyFont="1" applyFill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vertical="top"/>
    </xf>
    <xf numFmtId="177" fontId="5" fillId="0" borderId="10" xfId="0" applyNumberFormat="1" applyFont="1" applyBorder="1" applyAlignment="1" applyProtection="1">
      <alignment horizontal="center" vertical="center"/>
    </xf>
    <xf numFmtId="0" fontId="1" fillId="0" borderId="0" xfId="0" applyFont="1" applyAlignment="1">
      <alignment horizontal="center"/>
    </xf>
    <xf numFmtId="0" fontId="21" fillId="5" borderId="4" xfId="0" applyFont="1" applyFill="1" applyBorder="1" applyAlignment="1" applyProtection="1">
      <alignment horizontal="center" vertical="center" wrapText="1"/>
    </xf>
    <xf numFmtId="0" fontId="3" fillId="0" borderId="10" xfId="0" applyFont="1" applyBorder="1" applyAlignment="1" applyProtection="1">
      <alignment horizontal="center" vertical="center"/>
    </xf>
    <xf numFmtId="14" fontId="4" fillId="0" borderId="1" xfId="0" applyNumberFormat="1" applyFont="1" applyBorder="1" applyAlignment="1" applyProtection="1">
      <alignment horizontal="center" vertical="center"/>
    </xf>
    <xf numFmtId="0" fontId="22" fillId="0" borderId="9" xfId="0" applyFont="1" applyBorder="1" applyAlignment="1" applyProtection="1">
      <alignment horizontal="center" vertical="center"/>
    </xf>
    <xf numFmtId="0" fontId="23" fillId="0" borderId="3" xfId="0" applyFont="1" applyBorder="1" applyProtection="1">
      <alignment vertical="center"/>
    </xf>
    <xf numFmtId="0" fontId="10" fillId="3" borderId="4" xfId="0" applyFont="1" applyFill="1" applyBorder="1" applyAlignment="1" applyProtection="1">
      <alignment horizontal="center"/>
    </xf>
    <xf numFmtId="0" fontId="24" fillId="0" borderId="0" xfId="6" applyFont="1">
      <alignment vertical="center"/>
    </xf>
    <xf numFmtId="0" fontId="23" fillId="0" borderId="4" xfId="0" applyFont="1" applyBorder="1" applyProtection="1">
      <alignment vertical="center"/>
    </xf>
    <xf numFmtId="0" fontId="10" fillId="3" borderId="3" xfId="0" applyFont="1" applyFill="1" applyBorder="1" applyAlignment="1" applyProtection="1">
      <alignment horizontal="center"/>
    </xf>
    <xf numFmtId="0" fontId="10" fillId="0" borderId="4" xfId="0" applyFont="1" applyBorder="1" applyAlignment="1" applyProtection="1">
      <alignment vertical="top" wrapText="1"/>
    </xf>
    <xf numFmtId="0" fontId="1" fillId="0" borderId="4" xfId="0" applyFont="1" applyBorder="1" applyAlignment="1" applyProtection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FF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10.png"/><Relationship Id="rId3" Type="http://schemas.openxmlformats.org/officeDocument/2006/relationships/image" Target="media/image9.png"/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0/cellImage" Target="cellimages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发射功率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"PWR"</c:f>
              <c:strCache>
                <c:ptCount val="1"/>
                <c:pt idx="0">
                  <c:v>PWR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'1、RF传导测试'!$B$9:$B$87</c:f>
              <c:numCache>
                <c:formatCode>General</c:formatCode>
                <c:ptCount val="79"/>
                <c:pt idx="0">
                  <c:v>2402</c:v>
                </c:pt>
                <c:pt idx="1">
                  <c:v>2403</c:v>
                </c:pt>
                <c:pt idx="2">
                  <c:v>2404</c:v>
                </c:pt>
                <c:pt idx="3">
                  <c:v>2405</c:v>
                </c:pt>
                <c:pt idx="4">
                  <c:v>2406</c:v>
                </c:pt>
                <c:pt idx="5">
                  <c:v>2407</c:v>
                </c:pt>
                <c:pt idx="6">
                  <c:v>2408</c:v>
                </c:pt>
                <c:pt idx="7">
                  <c:v>2409</c:v>
                </c:pt>
                <c:pt idx="8">
                  <c:v>2410</c:v>
                </c:pt>
                <c:pt idx="9">
                  <c:v>2411</c:v>
                </c:pt>
                <c:pt idx="10">
                  <c:v>2412</c:v>
                </c:pt>
                <c:pt idx="11">
                  <c:v>2413</c:v>
                </c:pt>
                <c:pt idx="12">
                  <c:v>2414</c:v>
                </c:pt>
                <c:pt idx="13">
                  <c:v>2415</c:v>
                </c:pt>
                <c:pt idx="14">
                  <c:v>2416</c:v>
                </c:pt>
                <c:pt idx="15">
                  <c:v>2417</c:v>
                </c:pt>
                <c:pt idx="16">
                  <c:v>2418</c:v>
                </c:pt>
                <c:pt idx="17">
                  <c:v>2419</c:v>
                </c:pt>
                <c:pt idx="18">
                  <c:v>2420</c:v>
                </c:pt>
                <c:pt idx="19">
                  <c:v>2421</c:v>
                </c:pt>
                <c:pt idx="20">
                  <c:v>2422</c:v>
                </c:pt>
                <c:pt idx="21">
                  <c:v>2423</c:v>
                </c:pt>
                <c:pt idx="22">
                  <c:v>2424</c:v>
                </c:pt>
                <c:pt idx="23">
                  <c:v>2425</c:v>
                </c:pt>
                <c:pt idx="24">
                  <c:v>2426</c:v>
                </c:pt>
                <c:pt idx="25">
                  <c:v>2427</c:v>
                </c:pt>
                <c:pt idx="26">
                  <c:v>2428</c:v>
                </c:pt>
                <c:pt idx="27">
                  <c:v>2429</c:v>
                </c:pt>
                <c:pt idx="28">
                  <c:v>2430</c:v>
                </c:pt>
                <c:pt idx="29">
                  <c:v>2431</c:v>
                </c:pt>
                <c:pt idx="30">
                  <c:v>2432</c:v>
                </c:pt>
                <c:pt idx="31">
                  <c:v>2433</c:v>
                </c:pt>
                <c:pt idx="32">
                  <c:v>2434</c:v>
                </c:pt>
                <c:pt idx="33">
                  <c:v>2435</c:v>
                </c:pt>
                <c:pt idx="34">
                  <c:v>2436</c:v>
                </c:pt>
                <c:pt idx="35">
                  <c:v>2437</c:v>
                </c:pt>
                <c:pt idx="36">
                  <c:v>2438</c:v>
                </c:pt>
                <c:pt idx="37">
                  <c:v>2439</c:v>
                </c:pt>
                <c:pt idx="38">
                  <c:v>2440</c:v>
                </c:pt>
                <c:pt idx="39">
                  <c:v>2441</c:v>
                </c:pt>
                <c:pt idx="40">
                  <c:v>2442</c:v>
                </c:pt>
                <c:pt idx="41">
                  <c:v>2443</c:v>
                </c:pt>
                <c:pt idx="42">
                  <c:v>2444</c:v>
                </c:pt>
                <c:pt idx="43">
                  <c:v>2445</c:v>
                </c:pt>
                <c:pt idx="44">
                  <c:v>2446</c:v>
                </c:pt>
                <c:pt idx="45">
                  <c:v>2447</c:v>
                </c:pt>
                <c:pt idx="46">
                  <c:v>2448</c:v>
                </c:pt>
                <c:pt idx="47">
                  <c:v>2449</c:v>
                </c:pt>
                <c:pt idx="48">
                  <c:v>2450</c:v>
                </c:pt>
                <c:pt idx="49">
                  <c:v>2451</c:v>
                </c:pt>
                <c:pt idx="50">
                  <c:v>2452</c:v>
                </c:pt>
                <c:pt idx="51">
                  <c:v>2453</c:v>
                </c:pt>
                <c:pt idx="52">
                  <c:v>2454</c:v>
                </c:pt>
                <c:pt idx="53">
                  <c:v>2455</c:v>
                </c:pt>
                <c:pt idx="54">
                  <c:v>2456</c:v>
                </c:pt>
                <c:pt idx="55">
                  <c:v>2457</c:v>
                </c:pt>
                <c:pt idx="56">
                  <c:v>2458</c:v>
                </c:pt>
                <c:pt idx="57">
                  <c:v>2459</c:v>
                </c:pt>
                <c:pt idx="58">
                  <c:v>2460</c:v>
                </c:pt>
                <c:pt idx="59">
                  <c:v>2461</c:v>
                </c:pt>
                <c:pt idx="60">
                  <c:v>2462</c:v>
                </c:pt>
                <c:pt idx="61">
                  <c:v>2463</c:v>
                </c:pt>
                <c:pt idx="62">
                  <c:v>2464</c:v>
                </c:pt>
                <c:pt idx="63">
                  <c:v>2465</c:v>
                </c:pt>
                <c:pt idx="64">
                  <c:v>2466</c:v>
                </c:pt>
                <c:pt idx="65">
                  <c:v>2467</c:v>
                </c:pt>
                <c:pt idx="66">
                  <c:v>2468</c:v>
                </c:pt>
                <c:pt idx="67">
                  <c:v>2469</c:v>
                </c:pt>
                <c:pt idx="68">
                  <c:v>2470</c:v>
                </c:pt>
                <c:pt idx="69">
                  <c:v>2471</c:v>
                </c:pt>
                <c:pt idx="70">
                  <c:v>2472</c:v>
                </c:pt>
                <c:pt idx="71">
                  <c:v>2473</c:v>
                </c:pt>
                <c:pt idx="72">
                  <c:v>2474</c:v>
                </c:pt>
                <c:pt idx="73">
                  <c:v>2475</c:v>
                </c:pt>
                <c:pt idx="74">
                  <c:v>2476</c:v>
                </c:pt>
                <c:pt idx="75">
                  <c:v>2477</c:v>
                </c:pt>
                <c:pt idx="76">
                  <c:v>2478</c:v>
                </c:pt>
                <c:pt idx="77">
                  <c:v>2479</c:v>
                </c:pt>
                <c:pt idx="78">
                  <c:v>2480</c:v>
                </c:pt>
              </c:numCache>
            </c:numRef>
          </c:cat>
          <c:val>
            <c:numRef>
              <c:f>'1、RF传导测试'!$F$9:$F$87</c:f>
              <c:numCache>
                <c:formatCode>General</c:formatCode>
                <c:ptCount val="79"/>
                <c:pt idx="0">
                  <c:v>9.85413</c:v>
                </c:pt>
                <c:pt idx="1">
                  <c:v>9.8584</c:v>
                </c:pt>
                <c:pt idx="2">
                  <c:v>9.85199</c:v>
                </c:pt>
                <c:pt idx="3">
                  <c:v>9.85162</c:v>
                </c:pt>
                <c:pt idx="4">
                  <c:v>9.85034</c:v>
                </c:pt>
                <c:pt idx="5">
                  <c:v>9.84912</c:v>
                </c:pt>
                <c:pt idx="6">
                  <c:v>9.84686</c:v>
                </c:pt>
                <c:pt idx="7">
                  <c:v>9.84613</c:v>
                </c:pt>
                <c:pt idx="8">
                  <c:v>9.83221</c:v>
                </c:pt>
                <c:pt idx="9">
                  <c:v>9.83099</c:v>
                </c:pt>
                <c:pt idx="10">
                  <c:v>9.82947</c:v>
                </c:pt>
                <c:pt idx="11">
                  <c:v>9.81018</c:v>
                </c:pt>
                <c:pt idx="12">
                  <c:v>9.79633</c:v>
                </c:pt>
                <c:pt idx="13">
                  <c:v>9.79507</c:v>
                </c:pt>
                <c:pt idx="14">
                  <c:v>9.78644</c:v>
                </c:pt>
                <c:pt idx="15">
                  <c:v>9.7793</c:v>
                </c:pt>
                <c:pt idx="16">
                  <c:v>9.78073</c:v>
                </c:pt>
                <c:pt idx="17">
                  <c:v>9.77237</c:v>
                </c:pt>
                <c:pt idx="18">
                  <c:v>9.7583</c:v>
                </c:pt>
                <c:pt idx="19">
                  <c:v>9.74915</c:v>
                </c:pt>
                <c:pt idx="20">
                  <c:v>9.74075</c:v>
                </c:pt>
                <c:pt idx="21">
                  <c:v>9.73187</c:v>
                </c:pt>
                <c:pt idx="22">
                  <c:v>9.71228</c:v>
                </c:pt>
                <c:pt idx="23">
                  <c:v>9.69949</c:v>
                </c:pt>
                <c:pt idx="24">
                  <c:v>9.68704</c:v>
                </c:pt>
                <c:pt idx="25">
                  <c:v>9.66476</c:v>
                </c:pt>
                <c:pt idx="26">
                  <c:v>9.64948</c:v>
                </c:pt>
                <c:pt idx="27">
                  <c:v>9.6795</c:v>
                </c:pt>
                <c:pt idx="28">
                  <c:v>9.65576</c:v>
                </c:pt>
                <c:pt idx="29">
                  <c:v>9.65594</c:v>
                </c:pt>
                <c:pt idx="30">
                  <c:v>9.65808</c:v>
                </c:pt>
                <c:pt idx="31">
                  <c:v>9.64545</c:v>
                </c:pt>
                <c:pt idx="32">
                  <c:v>9.64572</c:v>
                </c:pt>
                <c:pt idx="33">
                  <c:v>9.63089</c:v>
                </c:pt>
                <c:pt idx="34">
                  <c:v>9.62295</c:v>
                </c:pt>
                <c:pt idx="35">
                  <c:v>9.61377</c:v>
                </c:pt>
                <c:pt idx="36">
                  <c:v>9.59448</c:v>
                </c:pt>
                <c:pt idx="37">
                  <c:v>9.58838</c:v>
                </c:pt>
                <c:pt idx="38">
                  <c:v>9.55179</c:v>
                </c:pt>
                <c:pt idx="39">
                  <c:v>9.53818</c:v>
                </c:pt>
                <c:pt idx="40">
                  <c:v>9.52383</c:v>
                </c:pt>
                <c:pt idx="41">
                  <c:v>9.50485</c:v>
                </c:pt>
                <c:pt idx="42">
                  <c:v>9.48837</c:v>
                </c:pt>
                <c:pt idx="43">
                  <c:v>9.46884</c:v>
                </c:pt>
                <c:pt idx="44">
                  <c:v>9.45547</c:v>
                </c:pt>
                <c:pt idx="45">
                  <c:v>9.43115</c:v>
                </c:pt>
                <c:pt idx="46">
                  <c:v>9.40747</c:v>
                </c:pt>
                <c:pt idx="47">
                  <c:v>9.38989</c:v>
                </c:pt>
                <c:pt idx="48">
                  <c:v>9.37106</c:v>
                </c:pt>
                <c:pt idx="49">
                  <c:v>9.35468</c:v>
                </c:pt>
                <c:pt idx="50">
                  <c:v>9.33063</c:v>
                </c:pt>
                <c:pt idx="51">
                  <c:v>9.30014</c:v>
                </c:pt>
                <c:pt idx="52">
                  <c:v>9.27768</c:v>
                </c:pt>
                <c:pt idx="53">
                  <c:v>9.25174</c:v>
                </c:pt>
                <c:pt idx="54">
                  <c:v>9.14606</c:v>
                </c:pt>
                <c:pt idx="55">
                  <c:v>9.12909</c:v>
                </c:pt>
                <c:pt idx="56">
                  <c:v>9.10608</c:v>
                </c:pt>
                <c:pt idx="57">
                  <c:v>9.08563</c:v>
                </c:pt>
                <c:pt idx="58">
                  <c:v>9.05847</c:v>
                </c:pt>
                <c:pt idx="59">
                  <c:v>9.04825</c:v>
                </c:pt>
                <c:pt idx="60">
                  <c:v>9.02634</c:v>
                </c:pt>
                <c:pt idx="61">
                  <c:v>9.01169</c:v>
                </c:pt>
                <c:pt idx="62">
                  <c:v>8.9956</c:v>
                </c:pt>
                <c:pt idx="63">
                  <c:v>8.97742</c:v>
                </c:pt>
                <c:pt idx="64">
                  <c:v>8.96335</c:v>
                </c:pt>
                <c:pt idx="65">
                  <c:v>8.93365</c:v>
                </c:pt>
                <c:pt idx="66">
                  <c:v>8.9122</c:v>
                </c:pt>
                <c:pt idx="67">
                  <c:v>8.89731</c:v>
                </c:pt>
                <c:pt idx="68">
                  <c:v>8.86951</c:v>
                </c:pt>
                <c:pt idx="69">
                  <c:v>8.85379</c:v>
                </c:pt>
                <c:pt idx="70">
                  <c:v>8.83246</c:v>
                </c:pt>
                <c:pt idx="71">
                  <c:v>8.81003</c:v>
                </c:pt>
                <c:pt idx="72">
                  <c:v>8.78915</c:v>
                </c:pt>
                <c:pt idx="73">
                  <c:v>8.76318</c:v>
                </c:pt>
                <c:pt idx="74">
                  <c:v>8.74957</c:v>
                </c:pt>
                <c:pt idx="75">
                  <c:v>8.72699</c:v>
                </c:pt>
                <c:pt idx="76">
                  <c:v>8.70316</c:v>
                </c:pt>
                <c:pt idx="77">
                  <c:v>8.67645</c:v>
                </c:pt>
                <c:pt idx="78">
                  <c:v>8.64484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2528215"/>
        <c:axId val="785484838"/>
      </c:lineChart>
      <c:catAx>
        <c:axId val="652528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484838"/>
        <c:crosses val="autoZero"/>
        <c:auto val="1"/>
        <c:lblAlgn val="ctr"/>
        <c:lblOffset val="100"/>
        <c:noMultiLvlLbl val="0"/>
      </c:catAx>
      <c:valAx>
        <c:axId val="7854848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252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"SEN"</c:f>
              <c:strCache>
                <c:ptCount val="1"/>
                <c:pt idx="0">
                  <c:v>SEN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'1、RF传导测试'!$B$9:$B$87</c:f>
              <c:numCache>
                <c:formatCode>General</c:formatCode>
                <c:ptCount val="79"/>
                <c:pt idx="0">
                  <c:v>2402</c:v>
                </c:pt>
                <c:pt idx="1">
                  <c:v>2403</c:v>
                </c:pt>
                <c:pt idx="2">
                  <c:v>2404</c:v>
                </c:pt>
                <c:pt idx="3">
                  <c:v>2405</c:v>
                </c:pt>
                <c:pt idx="4">
                  <c:v>2406</c:v>
                </c:pt>
                <c:pt idx="5">
                  <c:v>2407</c:v>
                </c:pt>
                <c:pt idx="6">
                  <c:v>2408</c:v>
                </c:pt>
                <c:pt idx="7">
                  <c:v>2409</c:v>
                </c:pt>
                <c:pt idx="8">
                  <c:v>2410</c:v>
                </c:pt>
                <c:pt idx="9">
                  <c:v>2411</c:v>
                </c:pt>
                <c:pt idx="10">
                  <c:v>2412</c:v>
                </c:pt>
                <c:pt idx="11">
                  <c:v>2413</c:v>
                </c:pt>
                <c:pt idx="12">
                  <c:v>2414</c:v>
                </c:pt>
                <c:pt idx="13">
                  <c:v>2415</c:v>
                </c:pt>
                <c:pt idx="14">
                  <c:v>2416</c:v>
                </c:pt>
                <c:pt idx="15">
                  <c:v>2417</c:v>
                </c:pt>
                <c:pt idx="16">
                  <c:v>2418</c:v>
                </c:pt>
                <c:pt idx="17">
                  <c:v>2419</c:v>
                </c:pt>
                <c:pt idx="18">
                  <c:v>2420</c:v>
                </c:pt>
                <c:pt idx="19">
                  <c:v>2421</c:v>
                </c:pt>
                <c:pt idx="20">
                  <c:v>2422</c:v>
                </c:pt>
                <c:pt idx="21">
                  <c:v>2423</c:v>
                </c:pt>
                <c:pt idx="22">
                  <c:v>2424</c:v>
                </c:pt>
                <c:pt idx="23">
                  <c:v>2425</c:v>
                </c:pt>
                <c:pt idx="24">
                  <c:v>2426</c:v>
                </c:pt>
                <c:pt idx="25">
                  <c:v>2427</c:v>
                </c:pt>
                <c:pt idx="26">
                  <c:v>2428</c:v>
                </c:pt>
                <c:pt idx="27">
                  <c:v>2429</c:v>
                </c:pt>
                <c:pt idx="28">
                  <c:v>2430</c:v>
                </c:pt>
                <c:pt idx="29">
                  <c:v>2431</c:v>
                </c:pt>
                <c:pt idx="30">
                  <c:v>2432</c:v>
                </c:pt>
                <c:pt idx="31">
                  <c:v>2433</c:v>
                </c:pt>
                <c:pt idx="32">
                  <c:v>2434</c:v>
                </c:pt>
                <c:pt idx="33">
                  <c:v>2435</c:v>
                </c:pt>
                <c:pt idx="34">
                  <c:v>2436</c:v>
                </c:pt>
                <c:pt idx="35">
                  <c:v>2437</c:v>
                </c:pt>
                <c:pt idx="36">
                  <c:v>2438</c:v>
                </c:pt>
                <c:pt idx="37">
                  <c:v>2439</c:v>
                </c:pt>
                <c:pt idx="38">
                  <c:v>2440</c:v>
                </c:pt>
                <c:pt idx="39">
                  <c:v>2441</c:v>
                </c:pt>
                <c:pt idx="40">
                  <c:v>2442</c:v>
                </c:pt>
                <c:pt idx="41">
                  <c:v>2443</c:v>
                </c:pt>
                <c:pt idx="42">
                  <c:v>2444</c:v>
                </c:pt>
                <c:pt idx="43">
                  <c:v>2445</c:v>
                </c:pt>
                <c:pt idx="44">
                  <c:v>2446</c:v>
                </c:pt>
                <c:pt idx="45">
                  <c:v>2447</c:v>
                </c:pt>
                <c:pt idx="46">
                  <c:v>2448</c:v>
                </c:pt>
                <c:pt idx="47">
                  <c:v>2449</c:v>
                </c:pt>
                <c:pt idx="48">
                  <c:v>2450</c:v>
                </c:pt>
                <c:pt idx="49">
                  <c:v>2451</c:v>
                </c:pt>
                <c:pt idx="50">
                  <c:v>2452</c:v>
                </c:pt>
                <c:pt idx="51">
                  <c:v>2453</c:v>
                </c:pt>
                <c:pt idx="52">
                  <c:v>2454</c:v>
                </c:pt>
                <c:pt idx="53">
                  <c:v>2455</c:v>
                </c:pt>
                <c:pt idx="54">
                  <c:v>2456</c:v>
                </c:pt>
                <c:pt idx="55">
                  <c:v>2457</c:v>
                </c:pt>
                <c:pt idx="56">
                  <c:v>2458</c:v>
                </c:pt>
                <c:pt idx="57">
                  <c:v>2459</c:v>
                </c:pt>
                <c:pt idx="58">
                  <c:v>2460</c:v>
                </c:pt>
                <c:pt idx="59">
                  <c:v>2461</c:v>
                </c:pt>
                <c:pt idx="60">
                  <c:v>2462</c:v>
                </c:pt>
                <c:pt idx="61">
                  <c:v>2463</c:v>
                </c:pt>
                <c:pt idx="62">
                  <c:v>2464</c:v>
                </c:pt>
                <c:pt idx="63">
                  <c:v>2465</c:v>
                </c:pt>
                <c:pt idx="64">
                  <c:v>2466</c:v>
                </c:pt>
                <c:pt idx="65">
                  <c:v>2467</c:v>
                </c:pt>
                <c:pt idx="66">
                  <c:v>2468</c:v>
                </c:pt>
                <c:pt idx="67">
                  <c:v>2469</c:v>
                </c:pt>
                <c:pt idx="68">
                  <c:v>2470</c:v>
                </c:pt>
                <c:pt idx="69">
                  <c:v>2471</c:v>
                </c:pt>
                <c:pt idx="70">
                  <c:v>2472</c:v>
                </c:pt>
                <c:pt idx="71">
                  <c:v>2473</c:v>
                </c:pt>
                <c:pt idx="72">
                  <c:v>2474</c:v>
                </c:pt>
                <c:pt idx="73">
                  <c:v>2475</c:v>
                </c:pt>
                <c:pt idx="74">
                  <c:v>2476</c:v>
                </c:pt>
                <c:pt idx="75">
                  <c:v>2477</c:v>
                </c:pt>
                <c:pt idx="76">
                  <c:v>2478</c:v>
                </c:pt>
                <c:pt idx="77">
                  <c:v>2479</c:v>
                </c:pt>
                <c:pt idx="78">
                  <c:v>2480</c:v>
                </c:pt>
              </c:numCache>
            </c:numRef>
          </c:cat>
          <c:val>
            <c:numRef>
              <c:f>'1、RF传导测试'!$G$9:$G$87</c:f>
              <c:numCache>
                <c:formatCode>General</c:formatCode>
                <c:ptCount val="79"/>
                <c:pt idx="0">
                  <c:v>-92</c:v>
                </c:pt>
                <c:pt idx="1">
                  <c:v>-93</c:v>
                </c:pt>
                <c:pt idx="2">
                  <c:v>-93</c:v>
                </c:pt>
                <c:pt idx="3">
                  <c:v>-93</c:v>
                </c:pt>
                <c:pt idx="4">
                  <c:v>-92</c:v>
                </c:pt>
                <c:pt idx="5">
                  <c:v>-92</c:v>
                </c:pt>
                <c:pt idx="6">
                  <c:v>-93</c:v>
                </c:pt>
                <c:pt idx="7">
                  <c:v>-93</c:v>
                </c:pt>
                <c:pt idx="8">
                  <c:v>-93</c:v>
                </c:pt>
                <c:pt idx="9">
                  <c:v>-93</c:v>
                </c:pt>
                <c:pt idx="10">
                  <c:v>-92</c:v>
                </c:pt>
                <c:pt idx="11">
                  <c:v>-92</c:v>
                </c:pt>
                <c:pt idx="12">
                  <c:v>-93</c:v>
                </c:pt>
                <c:pt idx="13">
                  <c:v>-93</c:v>
                </c:pt>
                <c:pt idx="14">
                  <c:v>-92</c:v>
                </c:pt>
                <c:pt idx="15">
                  <c:v>-93</c:v>
                </c:pt>
                <c:pt idx="16">
                  <c:v>-92</c:v>
                </c:pt>
                <c:pt idx="17">
                  <c:v>-93</c:v>
                </c:pt>
                <c:pt idx="18">
                  <c:v>-93</c:v>
                </c:pt>
                <c:pt idx="19">
                  <c:v>-93</c:v>
                </c:pt>
                <c:pt idx="20">
                  <c:v>-92</c:v>
                </c:pt>
                <c:pt idx="21">
                  <c:v>-91</c:v>
                </c:pt>
                <c:pt idx="22">
                  <c:v>-88</c:v>
                </c:pt>
                <c:pt idx="23">
                  <c:v>-91</c:v>
                </c:pt>
                <c:pt idx="24">
                  <c:v>-93</c:v>
                </c:pt>
                <c:pt idx="25">
                  <c:v>-93</c:v>
                </c:pt>
                <c:pt idx="26">
                  <c:v>-93</c:v>
                </c:pt>
                <c:pt idx="27">
                  <c:v>-93</c:v>
                </c:pt>
                <c:pt idx="28">
                  <c:v>-93</c:v>
                </c:pt>
                <c:pt idx="29">
                  <c:v>-93</c:v>
                </c:pt>
                <c:pt idx="30">
                  <c:v>-93</c:v>
                </c:pt>
                <c:pt idx="31">
                  <c:v>-93</c:v>
                </c:pt>
                <c:pt idx="32">
                  <c:v>-93</c:v>
                </c:pt>
                <c:pt idx="33">
                  <c:v>-93</c:v>
                </c:pt>
                <c:pt idx="34">
                  <c:v>-92</c:v>
                </c:pt>
                <c:pt idx="35">
                  <c:v>-92</c:v>
                </c:pt>
                <c:pt idx="36">
                  <c:v>-92</c:v>
                </c:pt>
                <c:pt idx="37">
                  <c:v>-93</c:v>
                </c:pt>
                <c:pt idx="38">
                  <c:v>-92</c:v>
                </c:pt>
                <c:pt idx="39">
                  <c:v>-92</c:v>
                </c:pt>
                <c:pt idx="40">
                  <c:v>-92</c:v>
                </c:pt>
                <c:pt idx="41">
                  <c:v>-92</c:v>
                </c:pt>
                <c:pt idx="42">
                  <c:v>-92</c:v>
                </c:pt>
                <c:pt idx="43">
                  <c:v>-92</c:v>
                </c:pt>
                <c:pt idx="44">
                  <c:v>-91</c:v>
                </c:pt>
                <c:pt idx="45">
                  <c:v>-89</c:v>
                </c:pt>
                <c:pt idx="46">
                  <c:v>-84</c:v>
                </c:pt>
                <c:pt idx="47">
                  <c:v>-89</c:v>
                </c:pt>
                <c:pt idx="48">
                  <c:v>-92</c:v>
                </c:pt>
                <c:pt idx="49">
                  <c:v>-92</c:v>
                </c:pt>
                <c:pt idx="50">
                  <c:v>-93</c:v>
                </c:pt>
                <c:pt idx="51">
                  <c:v>-93</c:v>
                </c:pt>
                <c:pt idx="52">
                  <c:v>-93</c:v>
                </c:pt>
                <c:pt idx="53">
                  <c:v>-92</c:v>
                </c:pt>
                <c:pt idx="54">
                  <c:v>-92</c:v>
                </c:pt>
                <c:pt idx="55">
                  <c:v>-93</c:v>
                </c:pt>
                <c:pt idx="56">
                  <c:v>-93</c:v>
                </c:pt>
                <c:pt idx="57">
                  <c:v>-92</c:v>
                </c:pt>
                <c:pt idx="58">
                  <c:v>-92</c:v>
                </c:pt>
                <c:pt idx="59">
                  <c:v>-92</c:v>
                </c:pt>
                <c:pt idx="60">
                  <c:v>-92</c:v>
                </c:pt>
                <c:pt idx="61">
                  <c:v>-93</c:v>
                </c:pt>
                <c:pt idx="62">
                  <c:v>-93</c:v>
                </c:pt>
                <c:pt idx="63">
                  <c:v>-93</c:v>
                </c:pt>
                <c:pt idx="64">
                  <c:v>-93</c:v>
                </c:pt>
                <c:pt idx="65">
                  <c:v>-93</c:v>
                </c:pt>
                <c:pt idx="66">
                  <c:v>-93</c:v>
                </c:pt>
                <c:pt idx="67">
                  <c:v>-93</c:v>
                </c:pt>
                <c:pt idx="68">
                  <c:v>-92</c:v>
                </c:pt>
                <c:pt idx="69">
                  <c:v>-91</c:v>
                </c:pt>
                <c:pt idx="70">
                  <c:v>-88</c:v>
                </c:pt>
                <c:pt idx="71">
                  <c:v>-91</c:v>
                </c:pt>
                <c:pt idx="72">
                  <c:v>-92</c:v>
                </c:pt>
                <c:pt idx="73">
                  <c:v>-93</c:v>
                </c:pt>
                <c:pt idx="74">
                  <c:v>-92</c:v>
                </c:pt>
                <c:pt idx="75">
                  <c:v>-92</c:v>
                </c:pt>
                <c:pt idx="76">
                  <c:v>-93</c:v>
                </c:pt>
                <c:pt idx="77">
                  <c:v>-93</c:v>
                </c:pt>
                <c:pt idx="78">
                  <c:v>-93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6818289"/>
        <c:axId val="41074385"/>
      </c:lineChart>
      <c:catAx>
        <c:axId val="95681828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074385"/>
        <c:crosses val="autoZero"/>
        <c:auto val="1"/>
        <c:lblAlgn val="ctr"/>
        <c:lblOffset val="100"/>
        <c:noMultiLvlLbl val="0"/>
      </c:catAx>
      <c:valAx>
        <c:axId val="410743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81828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/>
              <a:t>RF C-I 测试</a:t>
            </a:r>
            <a:endParaRPr sz="18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'7、RF C-I测试  '!$J$7</c:f>
              <c:strCache>
                <c:ptCount val="1"/>
                <c:pt idx="0">
                  <c:v>标准SDK</c:v>
                </c:pt>
              </c:strCache>
            </c:strRef>
          </c:tx>
          <c:spPr>
            <a:ln w="19050" cap="rnd" cmpd="sng" algn="ctr">
              <a:solidFill>
                <a:srgbClr val="7299C9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'7、RF C-I测试  '!$B$9:$B$87</c:f>
              <c:numCache>
                <c:formatCode>General</c:formatCode>
                <c:ptCount val="79"/>
                <c:pt idx="0">
                  <c:v>2402</c:v>
                </c:pt>
                <c:pt idx="1">
                  <c:v>2403</c:v>
                </c:pt>
                <c:pt idx="2">
                  <c:v>2404</c:v>
                </c:pt>
                <c:pt idx="3">
                  <c:v>2405</c:v>
                </c:pt>
                <c:pt idx="4">
                  <c:v>2406</c:v>
                </c:pt>
                <c:pt idx="5">
                  <c:v>2407</c:v>
                </c:pt>
                <c:pt idx="6">
                  <c:v>2408</c:v>
                </c:pt>
                <c:pt idx="7">
                  <c:v>2409</c:v>
                </c:pt>
                <c:pt idx="8">
                  <c:v>2410</c:v>
                </c:pt>
                <c:pt idx="9">
                  <c:v>2411</c:v>
                </c:pt>
                <c:pt idx="10">
                  <c:v>2412</c:v>
                </c:pt>
                <c:pt idx="11">
                  <c:v>2413</c:v>
                </c:pt>
                <c:pt idx="12">
                  <c:v>2414</c:v>
                </c:pt>
                <c:pt idx="13">
                  <c:v>2415</c:v>
                </c:pt>
                <c:pt idx="14">
                  <c:v>2416</c:v>
                </c:pt>
                <c:pt idx="15">
                  <c:v>2417</c:v>
                </c:pt>
                <c:pt idx="16">
                  <c:v>2418</c:v>
                </c:pt>
                <c:pt idx="17">
                  <c:v>2419</c:v>
                </c:pt>
                <c:pt idx="18">
                  <c:v>2420</c:v>
                </c:pt>
                <c:pt idx="19">
                  <c:v>2421</c:v>
                </c:pt>
                <c:pt idx="20">
                  <c:v>2422</c:v>
                </c:pt>
                <c:pt idx="21">
                  <c:v>2423</c:v>
                </c:pt>
                <c:pt idx="22">
                  <c:v>2424</c:v>
                </c:pt>
                <c:pt idx="23">
                  <c:v>2425</c:v>
                </c:pt>
                <c:pt idx="24">
                  <c:v>2426</c:v>
                </c:pt>
                <c:pt idx="25">
                  <c:v>2427</c:v>
                </c:pt>
                <c:pt idx="26">
                  <c:v>2428</c:v>
                </c:pt>
                <c:pt idx="27">
                  <c:v>2429</c:v>
                </c:pt>
                <c:pt idx="28">
                  <c:v>2430</c:v>
                </c:pt>
                <c:pt idx="29">
                  <c:v>2431</c:v>
                </c:pt>
                <c:pt idx="30">
                  <c:v>2432</c:v>
                </c:pt>
                <c:pt idx="31">
                  <c:v>2433</c:v>
                </c:pt>
                <c:pt idx="32">
                  <c:v>2434</c:v>
                </c:pt>
                <c:pt idx="33">
                  <c:v>2435</c:v>
                </c:pt>
                <c:pt idx="34">
                  <c:v>2436</c:v>
                </c:pt>
                <c:pt idx="35">
                  <c:v>2437</c:v>
                </c:pt>
                <c:pt idx="36">
                  <c:v>2438</c:v>
                </c:pt>
                <c:pt idx="37">
                  <c:v>2439</c:v>
                </c:pt>
                <c:pt idx="38">
                  <c:v>2440</c:v>
                </c:pt>
                <c:pt idx="39">
                  <c:v>2441</c:v>
                </c:pt>
                <c:pt idx="40">
                  <c:v>2442</c:v>
                </c:pt>
                <c:pt idx="41">
                  <c:v>2443</c:v>
                </c:pt>
                <c:pt idx="42">
                  <c:v>2444</c:v>
                </c:pt>
                <c:pt idx="43">
                  <c:v>2445</c:v>
                </c:pt>
                <c:pt idx="44">
                  <c:v>2446</c:v>
                </c:pt>
                <c:pt idx="45">
                  <c:v>2447</c:v>
                </c:pt>
                <c:pt idx="46">
                  <c:v>2448</c:v>
                </c:pt>
                <c:pt idx="47">
                  <c:v>2449</c:v>
                </c:pt>
                <c:pt idx="48">
                  <c:v>2450</c:v>
                </c:pt>
                <c:pt idx="49">
                  <c:v>2451</c:v>
                </c:pt>
                <c:pt idx="50">
                  <c:v>2452</c:v>
                </c:pt>
                <c:pt idx="51">
                  <c:v>2453</c:v>
                </c:pt>
                <c:pt idx="52">
                  <c:v>2454</c:v>
                </c:pt>
                <c:pt idx="53">
                  <c:v>2455</c:v>
                </c:pt>
                <c:pt idx="54">
                  <c:v>2456</c:v>
                </c:pt>
                <c:pt idx="55">
                  <c:v>2457</c:v>
                </c:pt>
                <c:pt idx="56">
                  <c:v>2458</c:v>
                </c:pt>
                <c:pt idx="57">
                  <c:v>2459</c:v>
                </c:pt>
                <c:pt idx="58">
                  <c:v>2460</c:v>
                </c:pt>
                <c:pt idx="59">
                  <c:v>2461</c:v>
                </c:pt>
                <c:pt idx="60">
                  <c:v>2462</c:v>
                </c:pt>
                <c:pt idx="61">
                  <c:v>2463</c:v>
                </c:pt>
                <c:pt idx="62">
                  <c:v>2464</c:v>
                </c:pt>
                <c:pt idx="63">
                  <c:v>2465</c:v>
                </c:pt>
                <c:pt idx="64">
                  <c:v>2466</c:v>
                </c:pt>
                <c:pt idx="65">
                  <c:v>2467</c:v>
                </c:pt>
                <c:pt idx="66">
                  <c:v>2468</c:v>
                </c:pt>
                <c:pt idx="67">
                  <c:v>2469</c:v>
                </c:pt>
                <c:pt idx="68">
                  <c:v>2470</c:v>
                </c:pt>
                <c:pt idx="69">
                  <c:v>2471</c:v>
                </c:pt>
                <c:pt idx="70">
                  <c:v>2472</c:v>
                </c:pt>
                <c:pt idx="71">
                  <c:v>2473</c:v>
                </c:pt>
                <c:pt idx="72">
                  <c:v>2474</c:v>
                </c:pt>
                <c:pt idx="73">
                  <c:v>2475</c:v>
                </c:pt>
                <c:pt idx="74">
                  <c:v>2476</c:v>
                </c:pt>
                <c:pt idx="75">
                  <c:v>2477</c:v>
                </c:pt>
                <c:pt idx="76">
                  <c:v>2478</c:v>
                </c:pt>
                <c:pt idx="77">
                  <c:v>2479</c:v>
                </c:pt>
                <c:pt idx="78">
                  <c:v>2480</c:v>
                </c:pt>
              </c:numCache>
            </c:numRef>
          </c:cat>
          <c:val>
            <c:numRef>
              <c:f>'7、RF C-I测试  '!$N$10:$N$87</c:f>
            </c:numRef>
          </c:val>
          <c:smooth val="0"/>
        </c:ser>
        <c:ser>
          <c:idx val="1"/>
          <c:order val="1"/>
          <c:tx>
            <c:strRef>
              <c:f>'7、RF C-I测试  '!$A$7</c:f>
              <c:strCache>
                <c:ptCount val="1"/>
                <c:pt idx="0">
                  <c:v>品牌测试样机</c:v>
                </c:pt>
              </c:strCache>
            </c:strRef>
          </c:tx>
          <c:spPr>
            <a:ln w="19050" cap="rnd" cmpd="sng" algn="ctr">
              <a:solidFill>
                <a:srgbClr val="CC727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'7、RF C-I测试  '!$B$9:$B$87</c:f>
              <c:numCache>
                <c:formatCode>General</c:formatCode>
                <c:ptCount val="79"/>
                <c:pt idx="0">
                  <c:v>2402</c:v>
                </c:pt>
                <c:pt idx="1">
                  <c:v>2403</c:v>
                </c:pt>
                <c:pt idx="2">
                  <c:v>2404</c:v>
                </c:pt>
                <c:pt idx="3">
                  <c:v>2405</c:v>
                </c:pt>
                <c:pt idx="4">
                  <c:v>2406</c:v>
                </c:pt>
                <c:pt idx="5">
                  <c:v>2407</c:v>
                </c:pt>
                <c:pt idx="6">
                  <c:v>2408</c:v>
                </c:pt>
                <c:pt idx="7">
                  <c:v>2409</c:v>
                </c:pt>
                <c:pt idx="8">
                  <c:v>2410</c:v>
                </c:pt>
                <c:pt idx="9">
                  <c:v>2411</c:v>
                </c:pt>
                <c:pt idx="10">
                  <c:v>2412</c:v>
                </c:pt>
                <c:pt idx="11">
                  <c:v>2413</c:v>
                </c:pt>
                <c:pt idx="12">
                  <c:v>2414</c:v>
                </c:pt>
                <c:pt idx="13">
                  <c:v>2415</c:v>
                </c:pt>
                <c:pt idx="14">
                  <c:v>2416</c:v>
                </c:pt>
                <c:pt idx="15">
                  <c:v>2417</c:v>
                </c:pt>
                <c:pt idx="16">
                  <c:v>2418</c:v>
                </c:pt>
                <c:pt idx="17">
                  <c:v>2419</c:v>
                </c:pt>
                <c:pt idx="18">
                  <c:v>2420</c:v>
                </c:pt>
                <c:pt idx="19">
                  <c:v>2421</c:v>
                </c:pt>
                <c:pt idx="20">
                  <c:v>2422</c:v>
                </c:pt>
                <c:pt idx="21">
                  <c:v>2423</c:v>
                </c:pt>
                <c:pt idx="22">
                  <c:v>2424</c:v>
                </c:pt>
                <c:pt idx="23">
                  <c:v>2425</c:v>
                </c:pt>
                <c:pt idx="24">
                  <c:v>2426</c:v>
                </c:pt>
                <c:pt idx="25">
                  <c:v>2427</c:v>
                </c:pt>
                <c:pt idx="26">
                  <c:v>2428</c:v>
                </c:pt>
                <c:pt idx="27">
                  <c:v>2429</c:v>
                </c:pt>
                <c:pt idx="28">
                  <c:v>2430</c:v>
                </c:pt>
                <c:pt idx="29">
                  <c:v>2431</c:v>
                </c:pt>
                <c:pt idx="30">
                  <c:v>2432</c:v>
                </c:pt>
                <c:pt idx="31">
                  <c:v>2433</c:v>
                </c:pt>
                <c:pt idx="32">
                  <c:v>2434</c:v>
                </c:pt>
                <c:pt idx="33">
                  <c:v>2435</c:v>
                </c:pt>
                <c:pt idx="34">
                  <c:v>2436</c:v>
                </c:pt>
                <c:pt idx="35">
                  <c:v>2437</c:v>
                </c:pt>
                <c:pt idx="36">
                  <c:v>2438</c:v>
                </c:pt>
                <c:pt idx="37">
                  <c:v>2439</c:v>
                </c:pt>
                <c:pt idx="38">
                  <c:v>2440</c:v>
                </c:pt>
                <c:pt idx="39">
                  <c:v>2441</c:v>
                </c:pt>
                <c:pt idx="40">
                  <c:v>2442</c:v>
                </c:pt>
                <c:pt idx="41">
                  <c:v>2443</c:v>
                </c:pt>
                <c:pt idx="42">
                  <c:v>2444</c:v>
                </c:pt>
                <c:pt idx="43">
                  <c:v>2445</c:v>
                </c:pt>
                <c:pt idx="44">
                  <c:v>2446</c:v>
                </c:pt>
                <c:pt idx="45">
                  <c:v>2447</c:v>
                </c:pt>
                <c:pt idx="46">
                  <c:v>2448</c:v>
                </c:pt>
                <c:pt idx="47">
                  <c:v>2449</c:v>
                </c:pt>
                <c:pt idx="48">
                  <c:v>2450</c:v>
                </c:pt>
                <c:pt idx="49">
                  <c:v>2451</c:v>
                </c:pt>
                <c:pt idx="50">
                  <c:v>2452</c:v>
                </c:pt>
                <c:pt idx="51">
                  <c:v>2453</c:v>
                </c:pt>
                <c:pt idx="52">
                  <c:v>2454</c:v>
                </c:pt>
                <c:pt idx="53">
                  <c:v>2455</c:v>
                </c:pt>
                <c:pt idx="54">
                  <c:v>2456</c:v>
                </c:pt>
                <c:pt idx="55">
                  <c:v>2457</c:v>
                </c:pt>
                <c:pt idx="56">
                  <c:v>2458</c:v>
                </c:pt>
                <c:pt idx="57">
                  <c:v>2459</c:v>
                </c:pt>
                <c:pt idx="58">
                  <c:v>2460</c:v>
                </c:pt>
                <c:pt idx="59">
                  <c:v>2461</c:v>
                </c:pt>
                <c:pt idx="60">
                  <c:v>2462</c:v>
                </c:pt>
                <c:pt idx="61">
                  <c:v>2463</c:v>
                </c:pt>
                <c:pt idx="62">
                  <c:v>2464</c:v>
                </c:pt>
                <c:pt idx="63">
                  <c:v>2465</c:v>
                </c:pt>
                <c:pt idx="64">
                  <c:v>2466</c:v>
                </c:pt>
                <c:pt idx="65">
                  <c:v>2467</c:v>
                </c:pt>
                <c:pt idx="66">
                  <c:v>2468</c:v>
                </c:pt>
                <c:pt idx="67">
                  <c:v>2469</c:v>
                </c:pt>
                <c:pt idx="68">
                  <c:v>2470</c:v>
                </c:pt>
                <c:pt idx="69">
                  <c:v>2471</c:v>
                </c:pt>
                <c:pt idx="70">
                  <c:v>2472</c:v>
                </c:pt>
                <c:pt idx="71">
                  <c:v>2473</c:v>
                </c:pt>
                <c:pt idx="72">
                  <c:v>2474</c:v>
                </c:pt>
                <c:pt idx="73">
                  <c:v>2475</c:v>
                </c:pt>
                <c:pt idx="74">
                  <c:v>2476</c:v>
                </c:pt>
                <c:pt idx="75">
                  <c:v>2477</c:v>
                </c:pt>
                <c:pt idx="76">
                  <c:v>2478</c:v>
                </c:pt>
                <c:pt idx="77">
                  <c:v>2479</c:v>
                </c:pt>
                <c:pt idx="78">
                  <c:v>2480</c:v>
                </c:pt>
              </c:numCache>
            </c:numRef>
          </c:cat>
          <c:val>
            <c:numRef>
              <c:f>'7、RF C-I测试  '!$E$10:$E$87</c:f>
              <c:numCache>
                <c:formatCode>General</c:formatCode>
                <c:ptCount val="78"/>
                <c:pt idx="0">
                  <c:v>-9</c:v>
                </c:pt>
                <c:pt idx="1">
                  <c:v>-6</c:v>
                </c:pt>
                <c:pt idx="2">
                  <c:v>-8</c:v>
                </c:pt>
                <c:pt idx="3">
                  <c:v>-6</c:v>
                </c:pt>
                <c:pt idx="4">
                  <c:v>-7</c:v>
                </c:pt>
                <c:pt idx="5">
                  <c:v>-6</c:v>
                </c:pt>
                <c:pt idx="6">
                  <c:v>-7</c:v>
                </c:pt>
                <c:pt idx="7">
                  <c:v>-6</c:v>
                </c:pt>
                <c:pt idx="8">
                  <c:v>-13</c:v>
                </c:pt>
                <c:pt idx="9">
                  <c:v>-8</c:v>
                </c:pt>
                <c:pt idx="10">
                  <c:v>-7</c:v>
                </c:pt>
                <c:pt idx="11">
                  <c:v>-6</c:v>
                </c:pt>
                <c:pt idx="12">
                  <c:v>-7</c:v>
                </c:pt>
                <c:pt idx="13">
                  <c:v>-7</c:v>
                </c:pt>
                <c:pt idx="14">
                  <c:v>-7</c:v>
                </c:pt>
                <c:pt idx="15">
                  <c:v>-7</c:v>
                </c:pt>
                <c:pt idx="16">
                  <c:v>-8</c:v>
                </c:pt>
                <c:pt idx="17">
                  <c:v>-7</c:v>
                </c:pt>
                <c:pt idx="18">
                  <c:v>-7</c:v>
                </c:pt>
                <c:pt idx="19">
                  <c:v>-7</c:v>
                </c:pt>
                <c:pt idx="20">
                  <c:v>-7</c:v>
                </c:pt>
                <c:pt idx="21">
                  <c:v>-7</c:v>
                </c:pt>
                <c:pt idx="22">
                  <c:v>-7</c:v>
                </c:pt>
                <c:pt idx="23">
                  <c:v>-8</c:v>
                </c:pt>
                <c:pt idx="24">
                  <c:v>-14</c:v>
                </c:pt>
                <c:pt idx="25">
                  <c:v>-8</c:v>
                </c:pt>
                <c:pt idx="26">
                  <c:v>-20</c:v>
                </c:pt>
                <c:pt idx="27">
                  <c:v>-7</c:v>
                </c:pt>
                <c:pt idx="28">
                  <c:v>-8</c:v>
                </c:pt>
                <c:pt idx="29">
                  <c:v>-7</c:v>
                </c:pt>
                <c:pt idx="30">
                  <c:v>-7</c:v>
                </c:pt>
                <c:pt idx="31">
                  <c:v>-7</c:v>
                </c:pt>
                <c:pt idx="32">
                  <c:v>-8</c:v>
                </c:pt>
                <c:pt idx="33">
                  <c:v>-7</c:v>
                </c:pt>
                <c:pt idx="34">
                  <c:v>-7</c:v>
                </c:pt>
                <c:pt idx="35">
                  <c:v>-5</c:v>
                </c:pt>
                <c:pt idx="36">
                  <c:v>-5</c:v>
                </c:pt>
                <c:pt idx="37">
                  <c:v>-4</c:v>
                </c:pt>
                <c:pt idx="38">
                  <c:v>-6</c:v>
                </c:pt>
                <c:pt idx="39">
                  <c:v>-5</c:v>
                </c:pt>
                <c:pt idx="40">
                  <c:v>-15</c:v>
                </c:pt>
                <c:pt idx="41">
                  <c:v>-6</c:v>
                </c:pt>
                <c:pt idx="42">
                  <c:v>-5</c:v>
                </c:pt>
                <c:pt idx="43">
                  <c:v>-5</c:v>
                </c:pt>
                <c:pt idx="44">
                  <c:v>-8</c:v>
                </c:pt>
                <c:pt idx="45">
                  <c:v>-6</c:v>
                </c:pt>
                <c:pt idx="46">
                  <c:v>-6</c:v>
                </c:pt>
                <c:pt idx="47">
                  <c:v>-7</c:v>
                </c:pt>
                <c:pt idx="48">
                  <c:v>-11</c:v>
                </c:pt>
                <c:pt idx="49">
                  <c:v>-7</c:v>
                </c:pt>
                <c:pt idx="50">
                  <c:v>-16</c:v>
                </c:pt>
                <c:pt idx="51">
                  <c:v>-6</c:v>
                </c:pt>
                <c:pt idx="52">
                  <c:v>-7</c:v>
                </c:pt>
                <c:pt idx="53">
                  <c:v>-7</c:v>
                </c:pt>
                <c:pt idx="54">
                  <c:v>-7</c:v>
                </c:pt>
                <c:pt idx="55">
                  <c:v>-7</c:v>
                </c:pt>
                <c:pt idx="56">
                  <c:v>-14</c:v>
                </c:pt>
                <c:pt idx="57">
                  <c:v>-8</c:v>
                </c:pt>
                <c:pt idx="58">
                  <c:v>-8</c:v>
                </c:pt>
                <c:pt idx="59">
                  <c:v>-9</c:v>
                </c:pt>
                <c:pt idx="60">
                  <c:v>-9</c:v>
                </c:pt>
                <c:pt idx="61">
                  <c:v>-10</c:v>
                </c:pt>
                <c:pt idx="62">
                  <c:v>-11</c:v>
                </c:pt>
                <c:pt idx="63">
                  <c:v>-11</c:v>
                </c:pt>
                <c:pt idx="64">
                  <c:v>-11</c:v>
                </c:pt>
                <c:pt idx="65">
                  <c:v>-13</c:v>
                </c:pt>
                <c:pt idx="66">
                  <c:v>-14</c:v>
                </c:pt>
                <c:pt idx="67">
                  <c:v>-15</c:v>
                </c:pt>
                <c:pt idx="68">
                  <c:v>-15</c:v>
                </c:pt>
                <c:pt idx="69">
                  <c:v>-14</c:v>
                </c:pt>
                <c:pt idx="70">
                  <c:v>-18</c:v>
                </c:pt>
                <c:pt idx="71">
                  <c:v>-45</c:v>
                </c:pt>
                <c:pt idx="72">
                  <c:v>-13</c:v>
                </c:pt>
                <c:pt idx="73">
                  <c:v>-31</c:v>
                </c:pt>
                <c:pt idx="74">
                  <c:v>-68</c:v>
                </c:pt>
                <c:pt idx="75">
                  <c:v>-31</c:v>
                </c:pt>
                <c:pt idx="76">
                  <c:v>-13</c:v>
                </c:pt>
                <c:pt idx="77">
                  <c:v>-23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2"/>
        <c:scaling>
          <c:orientation val="maxMin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high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2153920" cy="2540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2153920" cy="254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67310</xdr:colOff>
      <xdr:row>0</xdr:row>
      <xdr:rowOff>57785</xdr:rowOff>
    </xdr:from>
    <xdr:ext cx="2153920" cy="254000"/>
    <xdr:pic>
      <xdr:nvPicPr>
        <xdr:cNvPr id="5" name="图片 4"/>
        <xdr:cNvPicPr/>
      </xdr:nvPicPr>
      <xdr:blipFill>
        <a:blip r:embed="rId3"/>
        <a:stretch>
          <a:fillRect/>
        </a:stretch>
      </xdr:blipFill>
      <xdr:spPr>
        <a:xfrm>
          <a:off x="67310" y="57785"/>
          <a:ext cx="2153920" cy="254000"/>
        </a:xfrm>
        <a:prstGeom prst="rect">
          <a:avLst/>
        </a:prstGeom>
      </xdr:spPr>
    </xdr:pic>
    <xdr:clientData/>
  </xdr:oneCellAnchor>
  <xdr:twoCellAnchor>
    <xdr:from>
      <xdr:col>10</xdr:col>
      <xdr:colOff>314325</xdr:colOff>
      <xdr:row>3</xdr:row>
      <xdr:rowOff>73025</xdr:rowOff>
    </xdr:from>
    <xdr:to>
      <xdr:col>20</xdr:col>
      <xdr:colOff>161290</xdr:colOff>
      <xdr:row>20</xdr:row>
      <xdr:rowOff>12700</xdr:rowOff>
    </xdr:to>
    <xdr:graphicFrame>
      <xdr:nvGraphicFramePr>
        <xdr:cNvPr id="6" name="图表 5"/>
        <xdr:cNvGraphicFramePr/>
      </xdr:nvGraphicFramePr>
      <xdr:xfrm>
        <a:off x="9344025" y="908050"/>
        <a:ext cx="6704965" cy="321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352425</xdr:colOff>
      <xdr:row>21</xdr:row>
      <xdr:rowOff>25400</xdr:rowOff>
    </xdr:from>
    <xdr:to>
      <xdr:col>20</xdr:col>
      <xdr:colOff>132715</xdr:colOff>
      <xdr:row>39</xdr:row>
      <xdr:rowOff>139065</xdr:rowOff>
    </xdr:to>
    <xdr:graphicFrame>
      <xdr:nvGraphicFramePr>
        <xdr:cNvPr id="7" name="图表 6"/>
        <xdr:cNvGraphicFramePr/>
      </xdr:nvGraphicFramePr>
      <xdr:xfrm>
        <a:off x="9382125" y="4321175"/>
        <a:ext cx="6638290" cy="3371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57150</xdr:rowOff>
    </xdr:from>
    <xdr:ext cx="2139950" cy="25856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8100" y="57150"/>
          <a:ext cx="2139950" cy="25844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127000</xdr:colOff>
      <xdr:row>0</xdr:row>
      <xdr:rowOff>95250</xdr:rowOff>
    </xdr:from>
    <xdr:ext cx="2129015" cy="25851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27000" y="95250"/>
          <a:ext cx="2128520" cy="25844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31750</xdr:colOff>
      <xdr:row>0</xdr:row>
      <xdr:rowOff>79375</xdr:rowOff>
    </xdr:from>
    <xdr:ext cx="1856105" cy="22606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1750" y="79375"/>
          <a:ext cx="1856105" cy="22606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124460</xdr:colOff>
      <xdr:row>0</xdr:row>
      <xdr:rowOff>95250</xdr:rowOff>
    </xdr:from>
    <xdr:ext cx="2159635" cy="2540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24460" y="95250"/>
          <a:ext cx="2159635" cy="2540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21590</xdr:colOff>
      <xdr:row>0</xdr:row>
      <xdr:rowOff>27940</xdr:rowOff>
    </xdr:from>
    <xdr:ext cx="2226945" cy="26352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1590" y="27940"/>
          <a:ext cx="2226945" cy="263525"/>
        </a:xfrm>
        <a:prstGeom prst="rect">
          <a:avLst/>
        </a:prstGeom>
      </xdr:spPr>
    </xdr:pic>
    <xdr:clientData/>
  </xdr:oneCellAnchor>
  <xdr:oneCellAnchor>
    <xdr:from>
      <xdr:col>0</xdr:col>
      <xdr:colOff>21590</xdr:colOff>
      <xdr:row>0</xdr:row>
      <xdr:rowOff>27940</xdr:rowOff>
    </xdr:from>
    <xdr:ext cx="2226945" cy="263525"/>
    <xdr:pic>
      <xdr:nvPicPr>
        <xdr:cNvPr id="3" name="图片 2"/>
        <xdr:cNvPicPr/>
      </xdr:nvPicPr>
      <xdr:blipFill>
        <a:blip r:embed="rId1"/>
        <a:stretch>
          <a:fillRect/>
        </a:stretch>
      </xdr:blipFill>
      <xdr:spPr>
        <a:xfrm>
          <a:off x="21590" y="27940"/>
          <a:ext cx="2226945" cy="2635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45085</xdr:colOff>
      <xdr:row>88</xdr:row>
      <xdr:rowOff>134620</xdr:rowOff>
    </xdr:from>
    <xdr:ext cx="6974813" cy="3430755"/>
    <xdr:graphicFrame>
      <xdr:nvGraphicFramePr>
        <xdr:cNvPr id="2" name="不可见图表"/>
        <xdr:cNvGraphicFramePr/>
      </xdr:nvGraphicFramePr>
      <xdr:xfrm>
        <a:off x="1073785" y="24283670"/>
        <a:ext cx="6974205" cy="3430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142875</xdr:colOff>
      <xdr:row>0</xdr:row>
      <xdr:rowOff>142875</xdr:rowOff>
    </xdr:from>
    <xdr:ext cx="2175675" cy="257214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42875" y="142875"/>
          <a:ext cx="2175510" cy="257175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4</xdr:row>
      <xdr:rowOff>288925</xdr:rowOff>
    </xdr:from>
    <xdr:ext cx="4557395" cy="1997075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4010025" y="2374900"/>
          <a:ext cx="4557395" cy="19970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57150</xdr:rowOff>
    </xdr:from>
    <xdr:ext cx="2139950" cy="25856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8100" y="57150"/>
          <a:ext cx="2139950" cy="25844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124460</xdr:colOff>
      <xdr:row>0</xdr:row>
      <xdr:rowOff>95250</xdr:rowOff>
    </xdr:from>
    <xdr:ext cx="2159635" cy="2540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24460" y="95250"/>
          <a:ext cx="2159635" cy="2540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21590</xdr:colOff>
      <xdr:row>0</xdr:row>
      <xdr:rowOff>27940</xdr:rowOff>
    </xdr:from>
    <xdr:ext cx="2226945" cy="26352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1590" y="27940"/>
          <a:ext cx="2226945" cy="26352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111125</xdr:colOff>
      <xdr:row>0</xdr:row>
      <xdr:rowOff>111125</xdr:rowOff>
    </xdr:from>
    <xdr:ext cx="2233295" cy="26733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11125" y="111125"/>
          <a:ext cx="2233295" cy="26733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</xdr:colOff>
      <xdr:row>0</xdr:row>
      <xdr:rowOff>15875</xdr:rowOff>
    </xdr:from>
    <xdr:ext cx="2233295" cy="26733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5" y="15875"/>
          <a:ext cx="2233295" cy="2673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9"/>
  <sheetViews>
    <sheetView tabSelected="1" workbookViewId="0">
      <selection activeCell="G18" sqref="G18"/>
    </sheetView>
  </sheetViews>
  <sheetFormatPr defaultColWidth="9" defaultRowHeight="14.25" customHeight="1" outlineLevelCol="2"/>
  <cols>
    <col min="1" max="1" width="33.1666666666667" style="1" customWidth="1"/>
    <col min="2" max="2" width="35.1666666666667" style="1" customWidth="1"/>
    <col min="3" max="3" width="41.1666666666667" style="226" customWidth="1"/>
  </cols>
  <sheetData>
    <row r="1" ht="36" customHeight="1" spans="1:3">
      <c r="A1" s="227" t="s">
        <v>0</v>
      </c>
      <c r="B1" s="227"/>
      <c r="C1" s="227"/>
    </row>
    <row r="2" ht="20" customHeight="1" spans="1:3">
      <c r="A2" s="228" t="s">
        <v>1</v>
      </c>
      <c r="B2" s="44" t="s">
        <v>2</v>
      </c>
      <c r="C2" s="43"/>
    </row>
    <row r="3" ht="20" customHeight="1" spans="1:3">
      <c r="A3" s="54" t="s">
        <v>3</v>
      </c>
      <c r="B3" s="44" t="s">
        <v>4</v>
      </c>
      <c r="C3" s="43"/>
    </row>
    <row r="4" ht="20" customHeight="1" spans="1:3">
      <c r="A4" s="54" t="s">
        <v>5</v>
      </c>
      <c r="B4" s="44" t="s">
        <v>6</v>
      </c>
      <c r="C4" s="43"/>
    </row>
    <row r="5" ht="20" customHeight="1" spans="1:3">
      <c r="A5" s="228" t="s">
        <v>7</v>
      </c>
      <c r="B5" s="44" t="s">
        <v>8</v>
      </c>
      <c r="C5" s="43"/>
    </row>
    <row r="6" ht="20" customHeight="1" spans="1:3">
      <c r="A6" s="228" t="s">
        <v>9</v>
      </c>
      <c r="B6" s="44" t="s">
        <v>10</v>
      </c>
      <c r="C6" s="43"/>
    </row>
    <row r="7" ht="20" customHeight="1" spans="1:3">
      <c r="A7" s="54" t="s">
        <v>11</v>
      </c>
      <c r="B7" s="44" t="s">
        <v>12</v>
      </c>
      <c r="C7" s="43"/>
    </row>
    <row r="8" ht="20" customHeight="1" spans="1:3">
      <c r="A8" s="54" t="s">
        <v>13</v>
      </c>
      <c r="B8" s="229">
        <v>45826</v>
      </c>
      <c r="C8" s="43"/>
    </row>
    <row r="9" ht="20" customHeight="1" spans="1:3">
      <c r="A9" s="54" t="s">
        <v>14</v>
      </c>
      <c r="B9" s="44" t="s">
        <v>15</v>
      </c>
      <c r="C9" s="43"/>
    </row>
    <row r="10" ht="20" customHeight="1" spans="1:3">
      <c r="A10" s="54" t="s">
        <v>16</v>
      </c>
      <c r="B10" s="44" t="s">
        <v>17</v>
      </c>
      <c r="C10" s="43"/>
    </row>
    <row r="11" ht="25" customHeight="1" spans="1:3">
      <c r="A11" s="230"/>
      <c r="B11" s="228" t="s">
        <v>18</v>
      </c>
      <c r="C11" s="54" t="s">
        <v>19</v>
      </c>
    </row>
    <row r="12" ht="20" customHeight="1" spans="1:3">
      <c r="A12" s="54" t="s">
        <v>20</v>
      </c>
      <c r="B12" s="231" t="s">
        <v>21</v>
      </c>
      <c r="C12" s="232" t="s">
        <v>22</v>
      </c>
    </row>
    <row r="13" ht="20" customHeight="1" spans="1:3">
      <c r="A13" s="54"/>
      <c r="B13" s="231" t="s">
        <v>23</v>
      </c>
      <c r="C13" s="232" t="s">
        <v>22</v>
      </c>
    </row>
    <row r="14" ht="20" customHeight="1" spans="1:3">
      <c r="A14" s="54"/>
      <c r="B14" s="231" t="s">
        <v>24</v>
      </c>
      <c r="C14" s="232" t="s">
        <v>25</v>
      </c>
    </row>
    <row r="15" ht="20" customHeight="1" spans="1:3">
      <c r="A15" s="54"/>
      <c r="B15" s="231" t="s">
        <v>26</v>
      </c>
      <c r="C15" s="232" t="s">
        <v>22</v>
      </c>
    </row>
    <row r="16" ht="20" customHeight="1" spans="1:3">
      <c r="A16" s="54"/>
      <c r="B16" s="233" t="s">
        <v>27</v>
      </c>
      <c r="C16" s="232" t="s">
        <v>25</v>
      </c>
    </row>
    <row r="17" ht="20" customHeight="1" spans="1:3">
      <c r="A17" s="54"/>
      <c r="B17" s="231" t="s">
        <v>28</v>
      </c>
      <c r="C17" s="232" t="s">
        <v>25</v>
      </c>
    </row>
    <row r="18" s="1" customFormat="1" ht="20" customHeight="1" spans="1:3">
      <c r="A18" s="54"/>
      <c r="B18" s="234" t="s">
        <v>29</v>
      </c>
      <c r="C18" s="235" t="s">
        <v>25</v>
      </c>
    </row>
    <row r="19" s="1" customFormat="1" ht="99" customHeight="1" spans="1:3">
      <c r="A19" s="236" t="s">
        <v>30</v>
      </c>
      <c r="B19" s="237"/>
      <c r="C19" s="237"/>
    </row>
  </sheetData>
  <sheetProtection insertHyperlinks="0" autoFilter="0"/>
  <mergeCells count="12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A19:C19"/>
    <mergeCell ref="A12:A18"/>
  </mergeCells>
  <conditionalFormatting sqref="C12:C18">
    <cfRule type="cellIs" dxfId="0" priority="96" stopIfTrue="1" operator="equal">
      <formula>"FAIL"</formula>
    </cfRule>
    <cfRule type="cellIs" dxfId="1" priority="95" stopIfTrue="1" operator="equal">
      <formula>"PASS"</formula>
    </cfRule>
  </conditionalFormatting>
  <dataValidations count="1">
    <dataValidation type="list" allowBlank="1" showInputMessage="1" showErrorMessage="1" sqref="C18 C12:C17">
      <formula1>"PASS,FAIL,N/A"</formula1>
    </dataValidation>
  </dataValidations>
  <hyperlinks>
    <hyperlink ref="B12" location="'1、RF传导测试'!A1" display="1、RF传导测试"/>
    <hyperlink ref="B13" location="'2、RF暗室测试  '!A1" display="2、RF暗室测试"/>
    <hyperlink ref="B14" location="'3、DAC性能测试 '!A1" display="3、DAC性能测试"/>
    <hyperlink ref="B15" location="'4、功耗测试'!A1" display="4、功耗测试"/>
    <hyperlink ref="B17" location="'6、卡顿专项测试 '!A1" display="6、卡顿专项测试"/>
    <hyperlink ref="B18" location="'7、RF C-I测试  '!A1" display="7、RF C-I测试"/>
    <hyperlink ref="B16" location="'5、距离测试 '!A1" display="5、距离测试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5"/>
  <sheetViews>
    <sheetView topLeftCell="A49" workbookViewId="0">
      <selection activeCell="F10" sqref="F10"/>
    </sheetView>
  </sheetViews>
  <sheetFormatPr defaultColWidth="9" defaultRowHeight="14.25" customHeight="1"/>
  <cols>
    <col min="1" max="1" width="13.5" style="165" customWidth="1"/>
    <col min="2" max="10" width="11.6666666666667" style="165" customWidth="1"/>
  </cols>
  <sheetData>
    <row r="1" s="23" customFormat="1" ht="35" customHeight="1" spans="1:10">
      <c r="A1" s="218" t="s">
        <v>31</v>
      </c>
      <c r="B1" s="218"/>
      <c r="C1" s="218"/>
      <c r="D1" s="218"/>
      <c r="E1" s="218"/>
      <c r="F1" s="218"/>
      <c r="G1" s="218"/>
      <c r="H1" s="218"/>
      <c r="I1" s="218"/>
      <c r="J1" s="218"/>
    </row>
    <row r="2" s="23" customFormat="1" customHeight="1" spans="1:10">
      <c r="A2" s="6" t="s">
        <v>32</v>
      </c>
      <c r="B2" s="168">
        <v>45826</v>
      </c>
      <c r="C2" s="50"/>
      <c r="D2" s="50"/>
      <c r="E2" s="48"/>
      <c r="F2" s="6" t="s">
        <v>33</v>
      </c>
      <c r="G2" s="47" t="s">
        <v>15</v>
      </c>
      <c r="H2" s="50"/>
      <c r="I2" s="50"/>
      <c r="J2" s="48"/>
    </row>
    <row r="3" s="23" customFormat="1" ht="16.5" customHeight="1" spans="1:10">
      <c r="A3" s="6" t="s">
        <v>34</v>
      </c>
      <c r="B3" s="47" t="s">
        <v>35</v>
      </c>
      <c r="C3" s="50"/>
      <c r="D3" s="50"/>
      <c r="E3" s="48"/>
      <c r="F3" s="6" t="s">
        <v>36</v>
      </c>
      <c r="G3" s="51" t="s">
        <v>8</v>
      </c>
      <c r="H3" s="52"/>
      <c r="I3" s="52"/>
      <c r="J3" s="176"/>
    </row>
    <row r="4" s="23" customFormat="1" ht="16.5" customHeight="1" spans="1:10">
      <c r="A4" s="6" t="s">
        <v>37</v>
      </c>
      <c r="B4" s="9" t="s">
        <v>38</v>
      </c>
      <c r="C4" s="8"/>
      <c r="D4" s="8"/>
      <c r="E4" s="8"/>
      <c r="F4" s="8"/>
      <c r="G4" s="8"/>
      <c r="H4" s="8"/>
      <c r="I4" s="8"/>
      <c r="J4" s="8"/>
    </row>
    <row r="5" s="23" customFormat="1" customHeight="1" spans="1:10">
      <c r="A5" s="6" t="s">
        <v>39</v>
      </c>
      <c r="B5" s="8" t="s">
        <v>40</v>
      </c>
      <c r="C5" s="8"/>
      <c r="D5" s="8"/>
      <c r="E5" s="8"/>
      <c r="F5" s="8"/>
      <c r="G5" s="8"/>
      <c r="H5" s="8"/>
      <c r="I5" s="8"/>
      <c r="J5" s="8"/>
    </row>
    <row r="6" s="23" customFormat="1" customHeight="1" spans="1:10">
      <c r="A6" s="16" t="s">
        <v>41</v>
      </c>
      <c r="B6" s="219" t="s">
        <v>22</v>
      </c>
      <c r="C6" s="219"/>
      <c r="D6" s="219"/>
      <c r="E6" s="219"/>
      <c r="F6" s="219"/>
      <c r="G6" s="219"/>
      <c r="H6" s="219"/>
      <c r="I6" s="219"/>
      <c r="J6" s="219"/>
    </row>
    <row r="7" s="23" customFormat="1" ht="25" customHeight="1" spans="1:10">
      <c r="A7" s="6" t="s">
        <v>42</v>
      </c>
      <c r="B7" s="42" t="s">
        <v>43</v>
      </c>
      <c r="C7" s="42"/>
      <c r="D7" s="42"/>
      <c r="E7" s="42"/>
      <c r="F7" s="42"/>
      <c r="G7" s="42"/>
      <c r="H7" s="42"/>
      <c r="I7" s="42"/>
      <c r="J7" s="43"/>
    </row>
    <row r="8" ht="17.25" customHeight="1" spans="1:10">
      <c r="A8" s="6"/>
      <c r="B8" s="179" t="s">
        <v>44</v>
      </c>
      <c r="C8" s="15" t="s">
        <v>45</v>
      </c>
      <c r="D8" s="15" t="s">
        <v>46</v>
      </c>
      <c r="E8" s="220">
        <v>0.99</v>
      </c>
      <c r="F8" s="15" t="s">
        <v>47</v>
      </c>
      <c r="G8" s="15" t="s">
        <v>48</v>
      </c>
      <c r="H8" s="15" t="s">
        <v>49</v>
      </c>
      <c r="I8" s="15" t="s">
        <v>50</v>
      </c>
      <c r="J8" s="15" t="s">
        <v>51</v>
      </c>
    </row>
    <row r="9" customHeight="1" spans="1:10">
      <c r="A9" s="221"/>
      <c r="B9" s="47">
        <v>2402</v>
      </c>
      <c r="C9" s="8">
        <v>0.11481</v>
      </c>
      <c r="D9" s="8">
        <v>0.04388</v>
      </c>
      <c r="E9" s="8">
        <v>0.085</v>
      </c>
      <c r="F9" s="8">
        <v>9.85413</v>
      </c>
      <c r="G9" s="8">
        <v>-92</v>
      </c>
      <c r="H9" s="8">
        <v>0.0046</v>
      </c>
      <c r="I9" s="8">
        <v>24.43325</v>
      </c>
      <c r="J9" s="8">
        <v>24.43325</v>
      </c>
    </row>
    <row r="10" customHeight="1" spans="1:10">
      <c r="A10" s="221"/>
      <c r="B10" s="47">
        <v>2403</v>
      </c>
      <c r="C10" s="8">
        <v>0.12158</v>
      </c>
      <c r="D10" s="8">
        <v>0.04576</v>
      </c>
      <c r="E10" s="8">
        <v>0.09</v>
      </c>
      <c r="F10" s="8">
        <v>9.8584</v>
      </c>
      <c r="G10" s="8">
        <v>-93</v>
      </c>
      <c r="H10" s="8">
        <v>0.0093</v>
      </c>
      <c r="I10" s="8">
        <v>38</v>
      </c>
      <c r="J10" s="8">
        <v>37.77778</v>
      </c>
    </row>
    <row r="11" customHeight="1" spans="1:10">
      <c r="A11" s="221"/>
      <c r="B11" s="47">
        <v>2404</v>
      </c>
      <c r="C11" s="8">
        <v>0.12383</v>
      </c>
      <c r="D11" s="8">
        <v>0.04625</v>
      </c>
      <c r="E11" s="8">
        <v>0.091</v>
      </c>
      <c r="F11" s="8">
        <v>9.85199</v>
      </c>
      <c r="G11" s="8">
        <v>-93</v>
      </c>
      <c r="H11" s="8">
        <v>0.00779</v>
      </c>
      <c r="I11" s="8">
        <v>30.48499</v>
      </c>
      <c r="J11" s="8">
        <v>30.48499</v>
      </c>
    </row>
    <row r="12" customHeight="1" spans="1:10">
      <c r="A12" s="221"/>
      <c r="B12" s="47">
        <v>2405</v>
      </c>
      <c r="C12" s="8">
        <v>0.1419</v>
      </c>
      <c r="D12" s="8">
        <v>0.0574</v>
      </c>
      <c r="E12" s="8">
        <v>0.10801</v>
      </c>
      <c r="F12" s="8">
        <v>9.85162</v>
      </c>
      <c r="G12" s="8">
        <v>-93</v>
      </c>
      <c r="H12" s="8">
        <v>0.00924</v>
      </c>
      <c r="I12" s="8">
        <v>34.44444</v>
      </c>
      <c r="J12" s="8">
        <v>34.44444</v>
      </c>
    </row>
    <row r="13" customHeight="1" spans="1:10">
      <c r="A13" s="221"/>
      <c r="B13" s="47">
        <v>2406</v>
      </c>
      <c r="C13" s="8">
        <v>0.12734</v>
      </c>
      <c r="D13" s="8">
        <v>0.0469</v>
      </c>
      <c r="E13" s="8">
        <v>0.09</v>
      </c>
      <c r="F13" s="8">
        <v>9.85034</v>
      </c>
      <c r="G13" s="8">
        <v>-92</v>
      </c>
      <c r="H13" s="8">
        <v>0.00227</v>
      </c>
      <c r="I13" s="8">
        <v>15.96639</v>
      </c>
      <c r="J13" s="8">
        <v>15.96639</v>
      </c>
    </row>
    <row r="14" customHeight="1" spans="1:10">
      <c r="A14" s="221"/>
      <c r="B14" s="47">
        <v>2407</v>
      </c>
      <c r="C14" s="8">
        <v>0.12888</v>
      </c>
      <c r="D14" s="8">
        <v>0.04856</v>
      </c>
      <c r="E14" s="8">
        <v>0.095</v>
      </c>
      <c r="F14" s="8">
        <v>9.84912</v>
      </c>
      <c r="G14" s="8">
        <v>-92</v>
      </c>
      <c r="H14" s="8">
        <v>0.00141</v>
      </c>
      <c r="I14" s="8">
        <v>13.2948</v>
      </c>
      <c r="J14" s="8">
        <v>13.2948</v>
      </c>
    </row>
    <row r="15" customHeight="1" spans="1:10">
      <c r="A15" s="221"/>
      <c r="B15" s="47">
        <v>2408</v>
      </c>
      <c r="C15" s="8">
        <v>0.12919</v>
      </c>
      <c r="D15" s="8">
        <v>0.04875</v>
      </c>
      <c r="E15" s="8">
        <v>0.091</v>
      </c>
      <c r="F15" s="8">
        <v>9.84686</v>
      </c>
      <c r="G15" s="8">
        <v>-93</v>
      </c>
      <c r="H15" s="8">
        <v>0.0081</v>
      </c>
      <c r="I15" s="8">
        <v>32.20721</v>
      </c>
      <c r="J15" s="8">
        <v>31.98198</v>
      </c>
    </row>
    <row r="16" customHeight="1" spans="1:10">
      <c r="A16" s="221"/>
      <c r="B16" s="47">
        <v>2409</v>
      </c>
      <c r="C16" s="8">
        <v>0.12145</v>
      </c>
      <c r="D16" s="8">
        <v>0.04378</v>
      </c>
      <c r="E16" s="8">
        <v>0.085</v>
      </c>
      <c r="F16" s="8">
        <v>9.84613</v>
      </c>
      <c r="G16" s="8">
        <v>-93</v>
      </c>
      <c r="H16" s="8">
        <v>0.00792</v>
      </c>
      <c r="I16" s="8">
        <v>30</v>
      </c>
      <c r="J16" s="8">
        <v>30</v>
      </c>
    </row>
    <row r="17" customHeight="1" spans="1:10">
      <c r="A17" s="221"/>
      <c r="B17" s="47">
        <v>2410</v>
      </c>
      <c r="C17" s="8">
        <v>0.12331</v>
      </c>
      <c r="D17" s="8">
        <v>0.04713</v>
      </c>
      <c r="E17" s="8">
        <v>0.091</v>
      </c>
      <c r="F17" s="8">
        <v>9.83221</v>
      </c>
      <c r="G17" s="8">
        <v>-93</v>
      </c>
      <c r="H17" s="8">
        <v>0.00743</v>
      </c>
      <c r="I17" s="8">
        <v>28.57143</v>
      </c>
      <c r="J17" s="8">
        <v>28.33333</v>
      </c>
    </row>
    <row r="18" customHeight="1" spans="1:10">
      <c r="A18" s="221"/>
      <c r="B18" s="47">
        <v>2411</v>
      </c>
      <c r="C18" s="8">
        <v>0.12423</v>
      </c>
      <c r="D18" s="8">
        <v>0.04569</v>
      </c>
      <c r="E18" s="8">
        <v>0.089</v>
      </c>
      <c r="F18" s="8">
        <v>9.83099</v>
      </c>
      <c r="G18" s="8">
        <v>-93</v>
      </c>
      <c r="H18" s="8">
        <v>0.00984</v>
      </c>
      <c r="I18" s="8">
        <v>34.88889</v>
      </c>
      <c r="J18" s="8">
        <v>34.88889</v>
      </c>
    </row>
    <row r="19" customHeight="1" spans="1:10">
      <c r="A19" s="221"/>
      <c r="B19" s="47">
        <v>2412</v>
      </c>
      <c r="C19" s="8">
        <v>0.13333</v>
      </c>
      <c r="D19" s="8">
        <v>0.05339</v>
      </c>
      <c r="E19" s="8">
        <v>0.1</v>
      </c>
      <c r="F19" s="8">
        <v>9.82947</v>
      </c>
      <c r="G19" s="8">
        <v>-92</v>
      </c>
      <c r="H19" s="8">
        <v>0.00442</v>
      </c>
      <c r="I19" s="8">
        <v>24.05063</v>
      </c>
      <c r="J19" s="8">
        <v>24.05063</v>
      </c>
    </row>
    <row r="20" customHeight="1" spans="1:10">
      <c r="A20" s="221"/>
      <c r="B20" s="47">
        <v>2413</v>
      </c>
      <c r="C20" s="8">
        <v>0.12579</v>
      </c>
      <c r="D20" s="8">
        <v>0.04816</v>
      </c>
      <c r="E20" s="8">
        <v>0.091</v>
      </c>
      <c r="F20" s="8">
        <v>9.81018</v>
      </c>
      <c r="G20" s="8">
        <v>-92</v>
      </c>
      <c r="H20" s="8">
        <v>0.0027</v>
      </c>
      <c r="I20" s="8">
        <v>16.15599</v>
      </c>
      <c r="J20" s="8">
        <v>16.15599</v>
      </c>
    </row>
    <row r="21" customHeight="1" spans="1:10">
      <c r="A21" s="221"/>
      <c r="B21" s="47">
        <v>2414</v>
      </c>
      <c r="C21" s="8">
        <v>0.13537</v>
      </c>
      <c r="D21" s="8">
        <v>0.04847</v>
      </c>
      <c r="E21" s="8">
        <v>0.093</v>
      </c>
      <c r="F21" s="8">
        <v>9.79633</v>
      </c>
      <c r="G21" s="8">
        <v>-93</v>
      </c>
      <c r="H21" s="8">
        <v>0.01</v>
      </c>
      <c r="I21" s="8">
        <v>33.25</v>
      </c>
      <c r="J21" s="8">
        <v>33</v>
      </c>
    </row>
    <row r="22" customHeight="1" spans="1:10">
      <c r="A22" s="221"/>
      <c r="B22" s="47">
        <v>2415</v>
      </c>
      <c r="C22" s="8">
        <v>0.12267</v>
      </c>
      <c r="D22" s="8">
        <v>0.04582</v>
      </c>
      <c r="E22" s="8">
        <v>0.087</v>
      </c>
      <c r="F22" s="8">
        <v>9.79507</v>
      </c>
      <c r="G22" s="8">
        <v>-93</v>
      </c>
      <c r="H22" s="8">
        <v>0.00976</v>
      </c>
      <c r="I22" s="8">
        <v>32.35955</v>
      </c>
      <c r="J22" s="8">
        <v>32.35955</v>
      </c>
    </row>
    <row r="23" customHeight="1" spans="1:10">
      <c r="A23" s="221"/>
      <c r="B23" s="47">
        <v>2416</v>
      </c>
      <c r="C23" s="8">
        <v>0.11851</v>
      </c>
      <c r="D23" s="8">
        <v>0.04504</v>
      </c>
      <c r="E23" s="8">
        <v>0.085</v>
      </c>
      <c r="F23" s="8">
        <v>9.78644</v>
      </c>
      <c r="G23" s="8">
        <v>-92</v>
      </c>
      <c r="H23" s="8">
        <v>0.00117</v>
      </c>
      <c r="I23" s="8">
        <v>12.7907</v>
      </c>
      <c r="J23" s="8">
        <v>12.7907</v>
      </c>
    </row>
    <row r="24" customHeight="1" spans="1:10">
      <c r="A24" s="221"/>
      <c r="B24" s="47">
        <v>2417</v>
      </c>
      <c r="C24" s="8">
        <v>0.12113</v>
      </c>
      <c r="D24" s="8">
        <v>0.04818</v>
      </c>
      <c r="E24" s="8">
        <v>0.09</v>
      </c>
      <c r="F24" s="8">
        <v>9.7793</v>
      </c>
      <c r="G24" s="8">
        <v>-93</v>
      </c>
      <c r="H24" s="8">
        <v>0.00601</v>
      </c>
      <c r="I24" s="8">
        <v>30.23256</v>
      </c>
      <c r="J24" s="8">
        <v>30.23256</v>
      </c>
    </row>
    <row r="25" customHeight="1" spans="1:10">
      <c r="A25" s="221"/>
      <c r="B25" s="47">
        <v>2418</v>
      </c>
      <c r="C25" s="8">
        <v>0.12159</v>
      </c>
      <c r="D25" s="8">
        <v>0.04661</v>
      </c>
      <c r="E25" s="8">
        <v>0.087</v>
      </c>
      <c r="F25" s="8">
        <v>9.78073</v>
      </c>
      <c r="G25" s="8">
        <v>-92</v>
      </c>
      <c r="H25" s="8">
        <v>0.00104</v>
      </c>
      <c r="I25" s="8">
        <v>11.50442</v>
      </c>
      <c r="J25" s="8">
        <v>11.50442</v>
      </c>
    </row>
    <row r="26" customHeight="1" spans="1:10">
      <c r="A26" s="221"/>
      <c r="B26" s="47">
        <v>2419</v>
      </c>
      <c r="C26" s="8">
        <v>0.14063</v>
      </c>
      <c r="D26" s="8">
        <v>0.05943</v>
      </c>
      <c r="E26" s="8">
        <v>0.10901</v>
      </c>
      <c r="F26" s="8">
        <v>9.77237</v>
      </c>
      <c r="G26" s="8">
        <v>-93</v>
      </c>
      <c r="H26" s="8">
        <v>0.00552</v>
      </c>
      <c r="I26" s="8">
        <v>31.43508</v>
      </c>
      <c r="J26" s="8">
        <v>31.43508</v>
      </c>
    </row>
    <row r="27" customHeight="1" spans="1:10">
      <c r="A27" s="221"/>
      <c r="B27" s="47">
        <v>2420</v>
      </c>
      <c r="C27" s="8">
        <v>0.12139</v>
      </c>
      <c r="D27" s="8">
        <v>0.04941</v>
      </c>
      <c r="E27" s="8">
        <v>0.091</v>
      </c>
      <c r="F27" s="8">
        <v>9.7583</v>
      </c>
      <c r="G27" s="8">
        <v>-93</v>
      </c>
      <c r="H27" s="8">
        <v>0.00792</v>
      </c>
      <c r="I27" s="8">
        <v>26.04423</v>
      </c>
      <c r="J27" s="8">
        <v>26.04423</v>
      </c>
    </row>
    <row r="28" customHeight="1" spans="1:10">
      <c r="A28" s="221"/>
      <c r="B28" s="47">
        <v>2421</v>
      </c>
      <c r="C28" s="8">
        <v>0.13842</v>
      </c>
      <c r="D28" s="8">
        <v>0.05166</v>
      </c>
      <c r="E28" s="8">
        <v>0.098</v>
      </c>
      <c r="F28" s="8">
        <v>9.74915</v>
      </c>
      <c r="G28" s="8">
        <v>-93</v>
      </c>
      <c r="H28" s="8">
        <v>0.00632</v>
      </c>
      <c r="I28" s="8">
        <v>30.8046</v>
      </c>
      <c r="J28" s="8">
        <v>30.8046</v>
      </c>
    </row>
    <row r="29" customHeight="1" spans="1:10">
      <c r="A29" s="221"/>
      <c r="B29" s="47">
        <v>2422</v>
      </c>
      <c r="C29" s="8">
        <v>0.12656</v>
      </c>
      <c r="D29" s="8">
        <v>0.0488</v>
      </c>
      <c r="E29" s="8">
        <v>0.091</v>
      </c>
      <c r="F29" s="8">
        <v>9.74075</v>
      </c>
      <c r="G29" s="8">
        <v>-92</v>
      </c>
      <c r="H29" s="8">
        <v>0.00264</v>
      </c>
      <c r="I29" s="8">
        <v>15.25424</v>
      </c>
      <c r="J29" s="8">
        <v>15.25424</v>
      </c>
    </row>
    <row r="30" customHeight="1" spans="1:10">
      <c r="A30" s="221"/>
      <c r="B30" s="47">
        <v>2423</v>
      </c>
      <c r="C30" s="8">
        <v>0.11627</v>
      </c>
      <c r="D30" s="8">
        <v>0.04629</v>
      </c>
      <c r="E30" s="8">
        <v>0.086</v>
      </c>
      <c r="F30" s="222">
        <v>9.73187</v>
      </c>
      <c r="G30" s="8">
        <v>-91</v>
      </c>
      <c r="H30" s="8">
        <v>0.0019</v>
      </c>
      <c r="I30" s="8">
        <v>15.01416</v>
      </c>
      <c r="J30" s="8">
        <v>15.01416</v>
      </c>
    </row>
    <row r="31" customHeight="1" spans="1:10">
      <c r="A31" s="221"/>
      <c r="B31" s="47">
        <v>2424</v>
      </c>
      <c r="C31" s="8">
        <v>0.13228</v>
      </c>
      <c r="D31" s="8">
        <v>0.05145</v>
      </c>
      <c r="E31" s="8">
        <v>0.097</v>
      </c>
      <c r="F31" s="222">
        <v>9.71228</v>
      </c>
      <c r="G31" s="223">
        <v>-88</v>
      </c>
      <c r="H31" s="8">
        <v>0.00196</v>
      </c>
      <c r="I31" s="8">
        <v>13.25648</v>
      </c>
      <c r="J31" s="8">
        <v>13.25648</v>
      </c>
    </row>
    <row r="32" customHeight="1" spans="1:10">
      <c r="A32" s="221"/>
      <c r="B32" s="47">
        <v>2425</v>
      </c>
      <c r="C32" s="8">
        <v>0.13241</v>
      </c>
      <c r="D32" s="8">
        <v>0.04941</v>
      </c>
      <c r="E32" s="8">
        <v>0.093</v>
      </c>
      <c r="F32" s="222">
        <v>9.69949</v>
      </c>
      <c r="G32" s="8">
        <v>-91</v>
      </c>
      <c r="H32" s="8">
        <v>0.00626</v>
      </c>
      <c r="I32" s="8">
        <v>24.43325</v>
      </c>
      <c r="J32" s="8">
        <v>24.43325</v>
      </c>
    </row>
    <row r="33" customHeight="1" spans="1:10">
      <c r="A33" s="221"/>
      <c r="B33" s="47">
        <v>2426</v>
      </c>
      <c r="C33" s="8">
        <v>0.14343</v>
      </c>
      <c r="D33" s="8">
        <v>0.06078</v>
      </c>
      <c r="E33" s="8">
        <v>0.10901</v>
      </c>
      <c r="F33" s="222">
        <v>9.68704</v>
      </c>
      <c r="G33" s="8">
        <v>-93</v>
      </c>
      <c r="H33" s="8">
        <v>0.00893</v>
      </c>
      <c r="I33" s="8">
        <v>40.44444</v>
      </c>
      <c r="J33" s="8">
        <v>40.44444</v>
      </c>
    </row>
    <row r="34" customHeight="1" spans="1:10">
      <c r="A34" s="221"/>
      <c r="B34" s="47">
        <v>2427</v>
      </c>
      <c r="C34" s="8">
        <v>0.12114</v>
      </c>
      <c r="D34" s="8">
        <v>0.04827</v>
      </c>
      <c r="E34" s="8">
        <v>0.089</v>
      </c>
      <c r="F34" s="222">
        <v>9.66476</v>
      </c>
      <c r="G34" s="8">
        <v>-93</v>
      </c>
      <c r="H34" s="8">
        <v>0.00595</v>
      </c>
      <c r="I34" s="8">
        <v>32.8125</v>
      </c>
      <c r="J34" s="8">
        <v>32.58929</v>
      </c>
    </row>
    <row r="35" customHeight="1" spans="1:10">
      <c r="A35" s="221"/>
      <c r="B35" s="47">
        <v>2428</v>
      </c>
      <c r="C35" s="8">
        <v>0.13288</v>
      </c>
      <c r="D35" s="8">
        <v>0.05073</v>
      </c>
      <c r="E35" s="8">
        <v>0.094</v>
      </c>
      <c r="F35" s="222">
        <v>9.64948</v>
      </c>
      <c r="G35" s="8">
        <v>-93</v>
      </c>
      <c r="H35" s="8">
        <v>0.00626</v>
      </c>
      <c r="I35" s="8">
        <v>32.20721</v>
      </c>
      <c r="J35" s="8">
        <v>32.20721</v>
      </c>
    </row>
    <row r="36" customHeight="1" spans="1:10">
      <c r="A36" s="221"/>
      <c r="B36" s="47">
        <v>2429</v>
      </c>
      <c r="C36" s="8">
        <v>0.13176</v>
      </c>
      <c r="D36" s="8">
        <v>0.04777</v>
      </c>
      <c r="E36" s="8">
        <v>0.094</v>
      </c>
      <c r="F36" s="222">
        <v>9.6795</v>
      </c>
      <c r="G36" s="8">
        <v>-93</v>
      </c>
      <c r="H36" s="8">
        <v>0.00681</v>
      </c>
      <c r="I36" s="8">
        <v>26.28993</v>
      </c>
      <c r="J36" s="8">
        <v>26.28993</v>
      </c>
    </row>
    <row r="37" customHeight="1" spans="1:10">
      <c r="A37" s="221"/>
      <c r="B37" s="47">
        <v>2430</v>
      </c>
      <c r="C37" s="8">
        <v>0.11927</v>
      </c>
      <c r="D37" s="8">
        <v>0.04518</v>
      </c>
      <c r="E37" s="8">
        <v>0.086</v>
      </c>
      <c r="F37" s="222">
        <v>9.65576</v>
      </c>
      <c r="G37" s="8">
        <v>-93</v>
      </c>
      <c r="H37" s="8">
        <v>0.00669</v>
      </c>
      <c r="I37" s="8">
        <v>30.71594</v>
      </c>
      <c r="J37" s="8">
        <v>30.48499</v>
      </c>
    </row>
    <row r="38" customHeight="1" spans="1:10">
      <c r="A38" s="221"/>
      <c r="B38" s="47">
        <v>2431</v>
      </c>
      <c r="C38" s="8">
        <v>0.12398</v>
      </c>
      <c r="D38" s="8">
        <v>0.04813</v>
      </c>
      <c r="E38" s="8">
        <v>0.091</v>
      </c>
      <c r="F38" s="222">
        <v>9.65594</v>
      </c>
      <c r="G38" s="8">
        <v>-93</v>
      </c>
      <c r="H38" s="8">
        <v>0.00479</v>
      </c>
      <c r="I38" s="8">
        <v>29.07801</v>
      </c>
      <c r="J38" s="8">
        <v>29.07801</v>
      </c>
    </row>
    <row r="39" customHeight="1" spans="1:10">
      <c r="A39" s="221"/>
      <c r="B39" s="47">
        <v>2432</v>
      </c>
      <c r="C39" s="8">
        <v>0.12703</v>
      </c>
      <c r="D39" s="8">
        <v>0.04975</v>
      </c>
      <c r="E39" s="8">
        <v>0.09</v>
      </c>
      <c r="F39" s="222">
        <v>9.65808</v>
      </c>
      <c r="G39" s="8">
        <v>-93</v>
      </c>
      <c r="H39" s="8">
        <v>0.00632</v>
      </c>
      <c r="I39" s="8">
        <v>27.18447</v>
      </c>
      <c r="J39" s="8">
        <v>27.18447</v>
      </c>
    </row>
    <row r="40" customHeight="1" spans="1:10">
      <c r="A40" s="221"/>
      <c r="B40" s="47">
        <v>2433</v>
      </c>
      <c r="C40" s="8">
        <v>0.14614</v>
      </c>
      <c r="D40" s="8">
        <v>0.05954</v>
      </c>
      <c r="E40" s="8">
        <v>0.10801</v>
      </c>
      <c r="F40" s="222">
        <v>9.64545</v>
      </c>
      <c r="G40" s="8">
        <v>-93</v>
      </c>
      <c r="H40" s="8">
        <v>0.00657</v>
      </c>
      <c r="I40" s="8">
        <v>28.90995</v>
      </c>
      <c r="J40" s="8">
        <v>28.90995</v>
      </c>
    </row>
    <row r="41" customHeight="1" spans="1:10">
      <c r="A41" s="221"/>
      <c r="B41" s="47">
        <v>2434</v>
      </c>
      <c r="C41" s="8">
        <v>0.1231</v>
      </c>
      <c r="D41" s="8">
        <v>0.04775</v>
      </c>
      <c r="E41" s="8">
        <v>0.09</v>
      </c>
      <c r="F41" s="222">
        <v>9.64572</v>
      </c>
      <c r="G41" s="8">
        <v>-93</v>
      </c>
      <c r="H41" s="8">
        <v>0.00442</v>
      </c>
      <c r="I41" s="8">
        <v>28.74109</v>
      </c>
      <c r="J41" s="8">
        <v>28.50356</v>
      </c>
    </row>
    <row r="42" customHeight="1" spans="1:10">
      <c r="A42" s="221"/>
      <c r="B42" s="47">
        <v>2435</v>
      </c>
      <c r="C42" s="8">
        <v>0.12788</v>
      </c>
      <c r="D42" s="8">
        <v>0.0484</v>
      </c>
      <c r="E42" s="8">
        <v>0.093</v>
      </c>
      <c r="F42" s="222">
        <v>9.63089</v>
      </c>
      <c r="G42" s="8">
        <v>-93</v>
      </c>
      <c r="H42" s="8">
        <v>0.00973</v>
      </c>
      <c r="I42" s="8">
        <v>34</v>
      </c>
      <c r="J42" s="8">
        <v>33.55556</v>
      </c>
    </row>
    <row r="43" customHeight="1" spans="1:10">
      <c r="A43" s="221"/>
      <c r="B43" s="47">
        <v>2436</v>
      </c>
      <c r="C43" s="8">
        <v>0.12937</v>
      </c>
      <c r="D43" s="8">
        <v>0.05054</v>
      </c>
      <c r="E43" s="8">
        <v>0.089</v>
      </c>
      <c r="F43" s="222">
        <v>9.62295</v>
      </c>
      <c r="G43" s="8">
        <v>-92</v>
      </c>
      <c r="H43" s="8">
        <v>0.00411</v>
      </c>
      <c r="I43" s="8">
        <v>21.05263</v>
      </c>
      <c r="J43" s="8">
        <v>21.05263</v>
      </c>
    </row>
    <row r="44" customHeight="1" spans="1:10">
      <c r="A44" s="221"/>
      <c r="B44" s="47">
        <v>2437</v>
      </c>
      <c r="C44" s="8">
        <v>0.11871</v>
      </c>
      <c r="D44" s="8">
        <v>0.04462</v>
      </c>
      <c r="E44" s="8">
        <v>0.084</v>
      </c>
      <c r="F44" s="222">
        <v>9.61377</v>
      </c>
      <c r="G44" s="8">
        <v>-92</v>
      </c>
      <c r="H44" s="8">
        <v>0.00393</v>
      </c>
      <c r="I44" s="8">
        <v>20.84433</v>
      </c>
      <c r="J44" s="8">
        <v>20.84433</v>
      </c>
    </row>
    <row r="45" customHeight="1" spans="1:10">
      <c r="A45" s="221"/>
      <c r="B45" s="47">
        <v>2438</v>
      </c>
      <c r="C45" s="8">
        <v>0.12401</v>
      </c>
      <c r="D45" s="8">
        <v>0.0472</v>
      </c>
      <c r="E45" s="8">
        <v>0.088</v>
      </c>
      <c r="F45" s="222">
        <v>9.59448</v>
      </c>
      <c r="G45" s="8">
        <v>-92</v>
      </c>
      <c r="H45" s="8">
        <v>0.00313</v>
      </c>
      <c r="I45" s="8">
        <v>22.82051</v>
      </c>
      <c r="J45" s="8">
        <v>22.82051</v>
      </c>
    </row>
    <row r="46" customHeight="1" spans="1:10">
      <c r="A46" s="221"/>
      <c r="B46" s="47">
        <v>2439</v>
      </c>
      <c r="C46" s="8">
        <v>0.11907</v>
      </c>
      <c r="D46" s="8">
        <v>0.04518</v>
      </c>
      <c r="E46" s="8">
        <v>0.085</v>
      </c>
      <c r="F46" s="222">
        <v>9.58838</v>
      </c>
      <c r="G46" s="8">
        <v>-93</v>
      </c>
      <c r="H46" s="8">
        <v>0.00982</v>
      </c>
      <c r="I46" s="8">
        <v>36.66667</v>
      </c>
      <c r="J46" s="8">
        <v>36.22222</v>
      </c>
    </row>
    <row r="47" customHeight="1" spans="1:10">
      <c r="A47" s="221"/>
      <c r="B47" s="47">
        <v>2440</v>
      </c>
      <c r="C47" s="8">
        <v>0.13522</v>
      </c>
      <c r="D47" s="8">
        <v>0.05681</v>
      </c>
      <c r="E47" s="8">
        <v>0.102</v>
      </c>
      <c r="F47" s="222">
        <v>9.55179</v>
      </c>
      <c r="G47" s="8">
        <v>-92</v>
      </c>
      <c r="H47" s="8">
        <v>0.00252</v>
      </c>
      <c r="I47" s="8">
        <v>18.69919</v>
      </c>
      <c r="J47" s="8">
        <v>18.69919</v>
      </c>
    </row>
    <row r="48" customHeight="1" spans="1:10">
      <c r="A48" s="221"/>
      <c r="B48" s="47">
        <v>2441</v>
      </c>
      <c r="C48" s="8">
        <v>0.11856</v>
      </c>
      <c r="D48" s="8">
        <v>0.04678</v>
      </c>
      <c r="E48" s="8">
        <v>0.087</v>
      </c>
      <c r="F48" s="222">
        <v>9.53818</v>
      </c>
      <c r="G48" s="8">
        <v>-92</v>
      </c>
      <c r="H48" s="8">
        <v>0.00215</v>
      </c>
      <c r="I48" s="8">
        <v>17.35537</v>
      </c>
      <c r="J48" s="8">
        <v>17.35537</v>
      </c>
    </row>
    <row r="49" customHeight="1" spans="1:10">
      <c r="A49" s="221"/>
      <c r="B49" s="47">
        <v>2442</v>
      </c>
      <c r="C49" s="8">
        <v>0.13024</v>
      </c>
      <c r="D49" s="8">
        <v>0.04835</v>
      </c>
      <c r="E49" s="8">
        <v>0.091</v>
      </c>
      <c r="F49" s="222">
        <v>9.52383</v>
      </c>
      <c r="G49" s="8">
        <v>-92</v>
      </c>
      <c r="H49" s="8">
        <v>0.00239</v>
      </c>
      <c r="I49" s="8">
        <v>16.66667</v>
      </c>
      <c r="J49" s="8">
        <v>16.66667</v>
      </c>
    </row>
    <row r="50" customHeight="1" spans="1:10">
      <c r="A50" s="221"/>
      <c r="B50" s="47">
        <v>2443</v>
      </c>
      <c r="C50" s="8">
        <v>0.12068</v>
      </c>
      <c r="D50" s="8">
        <v>0.04473</v>
      </c>
      <c r="E50" s="8">
        <v>0.085</v>
      </c>
      <c r="F50" s="222">
        <v>9.50485</v>
      </c>
      <c r="G50" s="8">
        <v>-92</v>
      </c>
      <c r="H50" s="8">
        <v>0.0027</v>
      </c>
      <c r="I50" s="8">
        <v>18.91892</v>
      </c>
      <c r="J50" s="8">
        <v>18.64865</v>
      </c>
    </row>
    <row r="51" customHeight="1" spans="1:10">
      <c r="A51" s="221"/>
      <c r="B51" s="47">
        <v>2444</v>
      </c>
      <c r="C51" s="8">
        <v>0.115</v>
      </c>
      <c r="D51" s="8">
        <v>0.04443</v>
      </c>
      <c r="E51" s="8">
        <v>0.082</v>
      </c>
      <c r="F51" s="222">
        <v>9.48837</v>
      </c>
      <c r="G51" s="8">
        <v>-92</v>
      </c>
      <c r="H51" s="8">
        <v>0.00319</v>
      </c>
      <c r="I51" s="8">
        <v>19.35484</v>
      </c>
      <c r="J51" s="8">
        <v>19.35484</v>
      </c>
    </row>
    <row r="52" customHeight="1" spans="1:10">
      <c r="A52" s="221"/>
      <c r="B52" s="47">
        <v>2445</v>
      </c>
      <c r="C52" s="8">
        <v>0.11914</v>
      </c>
      <c r="D52" s="8">
        <v>0.04618</v>
      </c>
      <c r="E52" s="8">
        <v>0.087</v>
      </c>
      <c r="F52" s="222">
        <v>9.46884</v>
      </c>
      <c r="G52" s="8">
        <v>-92</v>
      </c>
      <c r="H52" s="8">
        <v>0.00638</v>
      </c>
      <c r="I52" s="8">
        <v>22.27979</v>
      </c>
      <c r="J52" s="8">
        <v>22.27979</v>
      </c>
    </row>
    <row r="53" customHeight="1" spans="1:10">
      <c r="A53" s="221"/>
      <c r="B53" s="47">
        <v>2446</v>
      </c>
      <c r="C53" s="8">
        <v>0.11813</v>
      </c>
      <c r="D53" s="8">
        <v>0.04498</v>
      </c>
      <c r="E53" s="8">
        <v>0.085</v>
      </c>
      <c r="F53" s="222">
        <v>9.45547</v>
      </c>
      <c r="G53" s="8">
        <v>-91</v>
      </c>
      <c r="H53" s="8">
        <v>0.00356</v>
      </c>
      <c r="I53" s="8">
        <v>14.24501</v>
      </c>
      <c r="J53" s="8">
        <v>13.96011</v>
      </c>
    </row>
    <row r="54" customHeight="1" spans="1:10">
      <c r="A54" s="221"/>
      <c r="B54" s="47">
        <v>2447</v>
      </c>
      <c r="C54" s="8">
        <v>0.12968</v>
      </c>
      <c r="D54" s="8">
        <v>0.05588</v>
      </c>
      <c r="E54" s="8">
        <v>0.1</v>
      </c>
      <c r="F54" s="222">
        <v>9.43115</v>
      </c>
      <c r="G54" s="223">
        <v>-89</v>
      </c>
      <c r="H54" s="8">
        <v>0.00644</v>
      </c>
      <c r="I54" s="8">
        <v>31.66287</v>
      </c>
      <c r="J54" s="8">
        <v>31.43508</v>
      </c>
    </row>
    <row r="55" customHeight="1" spans="1:10">
      <c r="A55" s="221"/>
      <c r="B55" s="47">
        <v>2448</v>
      </c>
      <c r="C55" s="8">
        <v>0.21664</v>
      </c>
      <c r="D55" s="8">
        <v>0.11093</v>
      </c>
      <c r="E55" s="8">
        <v>0.18501</v>
      </c>
      <c r="F55" s="222">
        <v>9.40747</v>
      </c>
      <c r="G55" s="223">
        <v>-84</v>
      </c>
      <c r="H55" s="8">
        <v>0.00098</v>
      </c>
      <c r="I55" s="8">
        <v>9.63855</v>
      </c>
      <c r="J55" s="8">
        <v>9.03614</v>
      </c>
    </row>
    <row r="56" customHeight="1" spans="1:10">
      <c r="A56" s="221"/>
      <c r="B56" s="47">
        <v>2449</v>
      </c>
      <c r="C56" s="8">
        <v>0.12335</v>
      </c>
      <c r="D56" s="8">
        <v>0.0462</v>
      </c>
      <c r="E56" s="8">
        <v>0.088</v>
      </c>
      <c r="F56" s="222">
        <v>9.38989</v>
      </c>
      <c r="G56" s="223">
        <v>-89</v>
      </c>
      <c r="H56" s="8">
        <v>0.00693</v>
      </c>
      <c r="I56" s="8">
        <v>31.66287</v>
      </c>
      <c r="J56" s="8">
        <v>31.66287</v>
      </c>
    </row>
    <row r="57" customHeight="1" spans="1:10">
      <c r="A57" s="221"/>
      <c r="B57" s="47">
        <v>2450</v>
      </c>
      <c r="C57" s="8">
        <v>0.12432</v>
      </c>
      <c r="D57" s="8">
        <v>0.04554</v>
      </c>
      <c r="E57" s="8">
        <v>0.087</v>
      </c>
      <c r="F57" s="222">
        <v>9.37106</v>
      </c>
      <c r="G57" s="8">
        <v>-92</v>
      </c>
      <c r="H57" s="8">
        <v>0.00828</v>
      </c>
      <c r="I57" s="8">
        <v>29.00943</v>
      </c>
      <c r="J57" s="8">
        <v>29.00943</v>
      </c>
    </row>
    <row r="58" customHeight="1" spans="1:10">
      <c r="A58" s="221"/>
      <c r="B58" s="47">
        <v>2451</v>
      </c>
      <c r="C58" s="8">
        <v>0.11547</v>
      </c>
      <c r="D58" s="8">
        <v>0.04455</v>
      </c>
      <c r="E58" s="8">
        <v>0.083</v>
      </c>
      <c r="F58" s="222">
        <v>9.35468</v>
      </c>
      <c r="G58" s="8">
        <v>-92</v>
      </c>
      <c r="H58" s="8">
        <v>0.00264</v>
      </c>
      <c r="I58" s="8">
        <v>15.25424</v>
      </c>
      <c r="J58" s="8">
        <v>15.25424</v>
      </c>
    </row>
    <row r="59" customHeight="1" spans="1:10">
      <c r="A59" s="221"/>
      <c r="B59" s="47">
        <v>2452</v>
      </c>
      <c r="C59" s="8">
        <v>0.12062</v>
      </c>
      <c r="D59" s="8">
        <v>0.04619</v>
      </c>
      <c r="E59" s="8">
        <v>0.085</v>
      </c>
      <c r="F59" s="222">
        <v>9.33063</v>
      </c>
      <c r="G59" s="8">
        <v>-93</v>
      </c>
      <c r="H59" s="8">
        <v>0.007</v>
      </c>
      <c r="I59" s="8">
        <v>36.66667</v>
      </c>
      <c r="J59" s="8">
        <v>36.66667</v>
      </c>
    </row>
    <row r="60" customHeight="1" spans="1:10">
      <c r="A60" s="221"/>
      <c r="B60" s="47">
        <v>2453</v>
      </c>
      <c r="C60" s="8">
        <v>0.12059</v>
      </c>
      <c r="D60" s="8">
        <v>0.04653</v>
      </c>
      <c r="E60" s="8">
        <v>0.088</v>
      </c>
      <c r="F60" s="222">
        <v>9.30014</v>
      </c>
      <c r="G60" s="8">
        <v>-93</v>
      </c>
      <c r="H60" s="8">
        <v>0.00962</v>
      </c>
      <c r="I60" s="8">
        <v>35.77778</v>
      </c>
      <c r="J60" s="8">
        <v>35.77778</v>
      </c>
    </row>
    <row r="61" customHeight="1" spans="1:10">
      <c r="A61" s="221"/>
      <c r="B61" s="47">
        <v>2454</v>
      </c>
      <c r="C61" s="8">
        <v>0.11372</v>
      </c>
      <c r="D61" s="8">
        <v>0.04469</v>
      </c>
      <c r="E61" s="8">
        <v>0.085</v>
      </c>
      <c r="F61" s="222">
        <v>9.27768</v>
      </c>
      <c r="G61" s="8">
        <v>-93</v>
      </c>
      <c r="H61" s="8">
        <v>0.00875</v>
      </c>
      <c r="I61" s="8">
        <v>36.44444</v>
      </c>
      <c r="J61" s="8">
        <v>36.22222</v>
      </c>
    </row>
    <row r="62" customHeight="1" spans="1:10">
      <c r="A62" s="221"/>
      <c r="B62" s="47">
        <v>2455</v>
      </c>
      <c r="C62" s="8">
        <v>0.1217</v>
      </c>
      <c r="D62" s="8">
        <v>0.04662</v>
      </c>
      <c r="E62" s="8">
        <v>0.086</v>
      </c>
      <c r="F62" s="222">
        <v>9.25174</v>
      </c>
      <c r="G62" s="8">
        <v>-92</v>
      </c>
      <c r="H62" s="8">
        <v>0.00331</v>
      </c>
      <c r="I62" s="8">
        <v>11.76471</v>
      </c>
      <c r="J62" s="8">
        <v>11.76471</v>
      </c>
    </row>
    <row r="63" customHeight="1" spans="1:10">
      <c r="A63" s="221"/>
      <c r="B63" s="47">
        <v>2456</v>
      </c>
      <c r="C63" s="8">
        <v>0.12781</v>
      </c>
      <c r="D63" s="8">
        <v>0.0504</v>
      </c>
      <c r="E63" s="8">
        <v>0.097</v>
      </c>
      <c r="F63" s="222">
        <v>9.14606</v>
      </c>
      <c r="G63" s="8">
        <v>-92</v>
      </c>
      <c r="H63" s="8">
        <v>0.00184</v>
      </c>
      <c r="I63" s="8">
        <v>10.94675</v>
      </c>
      <c r="J63" s="8">
        <v>10.94675</v>
      </c>
    </row>
    <row r="64" customHeight="1" spans="1:10">
      <c r="A64" s="221"/>
      <c r="B64" s="47">
        <v>2457</v>
      </c>
      <c r="C64" s="8">
        <v>0.13176</v>
      </c>
      <c r="D64" s="8">
        <v>0.04783</v>
      </c>
      <c r="E64" s="8">
        <v>0.093</v>
      </c>
      <c r="F64" s="222">
        <v>9.12909</v>
      </c>
      <c r="G64" s="8">
        <v>-93</v>
      </c>
      <c r="H64" s="8">
        <v>0.00784</v>
      </c>
      <c r="I64" s="8">
        <v>35.77778</v>
      </c>
      <c r="J64" s="8">
        <v>35.77778</v>
      </c>
    </row>
    <row r="65" customHeight="1" spans="1:10">
      <c r="A65" s="221"/>
      <c r="B65" s="47">
        <v>2458</v>
      </c>
      <c r="C65" s="8">
        <v>0.12331</v>
      </c>
      <c r="D65" s="8">
        <v>0.04484</v>
      </c>
      <c r="E65" s="8">
        <v>0.087</v>
      </c>
      <c r="F65" s="222">
        <v>9.10608</v>
      </c>
      <c r="G65" s="8">
        <v>-93</v>
      </c>
      <c r="H65" s="8">
        <v>0.00947</v>
      </c>
      <c r="I65" s="8">
        <v>37.77778</v>
      </c>
      <c r="J65" s="8">
        <v>37.77778</v>
      </c>
    </row>
    <row r="66" customHeight="1" spans="1:10">
      <c r="A66" s="221"/>
      <c r="B66" s="47">
        <v>2459</v>
      </c>
      <c r="C66" s="8">
        <v>0.12098</v>
      </c>
      <c r="D66" s="8">
        <v>0.04503</v>
      </c>
      <c r="E66" s="8">
        <v>0.087</v>
      </c>
      <c r="F66" s="222">
        <v>9.08563</v>
      </c>
      <c r="G66" s="8">
        <v>-92</v>
      </c>
      <c r="H66" s="8">
        <v>0.00282</v>
      </c>
      <c r="I66" s="8">
        <v>21.67102</v>
      </c>
      <c r="J66" s="8">
        <v>21.67102</v>
      </c>
    </row>
    <row r="67" customHeight="1" spans="1:10">
      <c r="A67" s="221"/>
      <c r="B67" s="47">
        <v>2460</v>
      </c>
      <c r="C67" s="8">
        <v>0.12405</v>
      </c>
      <c r="D67" s="8">
        <v>0.04523</v>
      </c>
      <c r="E67" s="8">
        <v>0.087</v>
      </c>
      <c r="F67" s="222">
        <v>9.05847</v>
      </c>
      <c r="G67" s="8">
        <v>-92</v>
      </c>
      <c r="H67" s="8">
        <v>0.00528</v>
      </c>
      <c r="I67" s="8">
        <v>24.43325</v>
      </c>
      <c r="J67" s="8">
        <v>24.43325</v>
      </c>
    </row>
    <row r="68" customHeight="1" spans="1:10">
      <c r="A68" s="221"/>
      <c r="B68" s="47">
        <v>2461</v>
      </c>
      <c r="C68" s="8">
        <v>0.12256</v>
      </c>
      <c r="D68" s="8">
        <v>0.04585</v>
      </c>
      <c r="E68" s="8">
        <v>0.087</v>
      </c>
      <c r="F68" s="222">
        <v>9.04825</v>
      </c>
      <c r="G68" s="8">
        <v>-92</v>
      </c>
      <c r="H68" s="8">
        <v>0.00196</v>
      </c>
      <c r="I68" s="8">
        <v>17.35537</v>
      </c>
      <c r="J68" s="8">
        <v>17.35537</v>
      </c>
    </row>
    <row r="69" customHeight="1" spans="1:10">
      <c r="A69" s="221"/>
      <c r="B69" s="47">
        <v>2462</v>
      </c>
      <c r="C69" s="8">
        <v>0.14228</v>
      </c>
      <c r="D69" s="8">
        <v>0.05819</v>
      </c>
      <c r="E69" s="8">
        <v>0.10801</v>
      </c>
      <c r="F69" s="222">
        <v>9.02634</v>
      </c>
      <c r="G69" s="8">
        <v>-92</v>
      </c>
      <c r="H69" s="8">
        <v>0.0027</v>
      </c>
      <c r="I69" s="8">
        <v>13.04348</v>
      </c>
      <c r="J69" s="8">
        <v>13.04348</v>
      </c>
    </row>
    <row r="70" customHeight="1" spans="1:10">
      <c r="A70" s="221"/>
      <c r="B70" s="47">
        <v>2463</v>
      </c>
      <c r="C70" s="8">
        <v>0.12841</v>
      </c>
      <c r="D70" s="8">
        <v>0.04787</v>
      </c>
      <c r="E70" s="8">
        <v>0.092</v>
      </c>
      <c r="F70" s="222">
        <v>9.01169</v>
      </c>
      <c r="G70" s="8">
        <v>-93</v>
      </c>
      <c r="H70" s="8">
        <v>0.00614</v>
      </c>
      <c r="I70" s="8">
        <v>31.12128</v>
      </c>
      <c r="J70" s="8">
        <v>30.89245</v>
      </c>
    </row>
    <row r="71" customHeight="1" spans="1:10">
      <c r="A71" s="221"/>
      <c r="B71" s="47">
        <v>2464</v>
      </c>
      <c r="C71" s="8">
        <v>0.13227</v>
      </c>
      <c r="D71" s="8">
        <v>0.04959</v>
      </c>
      <c r="E71" s="8">
        <v>0.095</v>
      </c>
      <c r="F71" s="8">
        <v>8.9956</v>
      </c>
      <c r="G71" s="8">
        <v>-93</v>
      </c>
      <c r="H71" s="8">
        <v>0.00577</v>
      </c>
      <c r="I71" s="8">
        <v>26.65037</v>
      </c>
      <c r="J71" s="8">
        <v>26.65037</v>
      </c>
    </row>
    <row r="72" customHeight="1" spans="1:10">
      <c r="A72" s="221"/>
      <c r="B72" s="47">
        <v>2465</v>
      </c>
      <c r="C72" s="8">
        <v>0.12786</v>
      </c>
      <c r="D72" s="8">
        <v>0.0469</v>
      </c>
      <c r="E72" s="8">
        <v>0.09</v>
      </c>
      <c r="F72" s="8">
        <v>8.97742</v>
      </c>
      <c r="G72" s="8">
        <v>-93</v>
      </c>
      <c r="H72" s="8">
        <v>0.00528</v>
      </c>
      <c r="I72" s="8">
        <v>28.57143</v>
      </c>
      <c r="J72" s="8">
        <v>28.57143</v>
      </c>
    </row>
    <row r="73" customHeight="1" spans="1:10">
      <c r="A73" s="221"/>
      <c r="B73" s="47">
        <v>2466</v>
      </c>
      <c r="C73" s="8">
        <v>0.1203</v>
      </c>
      <c r="D73" s="8">
        <v>0.04527</v>
      </c>
      <c r="E73" s="8">
        <v>0.086</v>
      </c>
      <c r="F73" s="8">
        <v>8.96335</v>
      </c>
      <c r="G73" s="8">
        <v>-93</v>
      </c>
      <c r="H73" s="8">
        <v>0.00804</v>
      </c>
      <c r="I73" s="8">
        <v>25.74257</v>
      </c>
      <c r="J73" s="8">
        <v>25.74257</v>
      </c>
    </row>
    <row r="74" customHeight="1" spans="1:10">
      <c r="A74" s="221"/>
      <c r="B74" s="47">
        <v>2467</v>
      </c>
      <c r="C74" s="8">
        <v>0.12348</v>
      </c>
      <c r="D74" s="8">
        <v>0.04784</v>
      </c>
      <c r="E74" s="8">
        <v>0.09</v>
      </c>
      <c r="F74" s="8">
        <v>8.93365</v>
      </c>
      <c r="G74" s="8">
        <v>-93</v>
      </c>
      <c r="H74" s="8">
        <v>0.00589</v>
      </c>
      <c r="I74" s="8">
        <v>27.29469</v>
      </c>
      <c r="J74" s="8">
        <v>27.05314</v>
      </c>
    </row>
    <row r="75" customHeight="1" spans="1:10">
      <c r="A75" s="221"/>
      <c r="B75" s="47">
        <v>2468</v>
      </c>
      <c r="C75" s="8">
        <v>0.12959</v>
      </c>
      <c r="D75" s="8">
        <v>0.04864</v>
      </c>
      <c r="E75" s="8">
        <v>0.093</v>
      </c>
      <c r="F75" s="8">
        <v>8.9122</v>
      </c>
      <c r="G75" s="8">
        <v>-93</v>
      </c>
      <c r="H75" s="8">
        <v>0.00546</v>
      </c>
      <c r="I75" s="8">
        <v>27.71084</v>
      </c>
      <c r="J75" s="8">
        <v>27.71084</v>
      </c>
    </row>
    <row r="76" customHeight="1" spans="1:10">
      <c r="A76" s="221"/>
      <c r="B76" s="47">
        <v>2469</v>
      </c>
      <c r="C76" s="8">
        <v>0.14282</v>
      </c>
      <c r="D76" s="8">
        <v>0.05834</v>
      </c>
      <c r="E76" s="8">
        <v>0.10801</v>
      </c>
      <c r="F76" s="8">
        <v>8.89731</v>
      </c>
      <c r="G76" s="8">
        <v>-93</v>
      </c>
      <c r="H76" s="8">
        <v>0.00663</v>
      </c>
      <c r="I76" s="8">
        <v>27.36077</v>
      </c>
      <c r="J76" s="8">
        <v>27.36077</v>
      </c>
    </row>
    <row r="77" customHeight="1" spans="1:10">
      <c r="A77" s="221"/>
      <c r="B77" s="47">
        <v>2470</v>
      </c>
      <c r="C77" s="8">
        <v>0.12214</v>
      </c>
      <c r="D77" s="8">
        <v>0.04706</v>
      </c>
      <c r="E77" s="8">
        <v>0.089</v>
      </c>
      <c r="F77" s="8">
        <v>8.86951</v>
      </c>
      <c r="G77" s="8">
        <v>-92</v>
      </c>
      <c r="H77" s="8">
        <v>0.00233</v>
      </c>
      <c r="I77" s="8">
        <v>15.96639</v>
      </c>
      <c r="J77" s="8">
        <v>15.96639</v>
      </c>
    </row>
    <row r="78" customHeight="1" spans="1:10">
      <c r="A78" s="221"/>
      <c r="B78" s="47">
        <v>2471</v>
      </c>
      <c r="C78" s="8">
        <v>0.13048</v>
      </c>
      <c r="D78" s="8">
        <v>0.05254</v>
      </c>
      <c r="E78" s="8">
        <v>0.098</v>
      </c>
      <c r="F78" s="8">
        <v>8.85379</v>
      </c>
      <c r="G78" s="8">
        <v>-91</v>
      </c>
      <c r="H78" s="8">
        <v>0.00565</v>
      </c>
      <c r="I78" s="8">
        <v>24.18136</v>
      </c>
      <c r="J78" s="8">
        <v>24.18136</v>
      </c>
    </row>
    <row r="79" customHeight="1" spans="1:10">
      <c r="A79" s="221"/>
      <c r="B79" s="47">
        <v>2472</v>
      </c>
      <c r="C79" s="8">
        <v>0.14599</v>
      </c>
      <c r="D79" s="8">
        <v>0.05734</v>
      </c>
      <c r="E79" s="8">
        <v>0.10601</v>
      </c>
      <c r="F79" s="8">
        <v>8.83246</v>
      </c>
      <c r="G79" s="223">
        <v>-88</v>
      </c>
      <c r="H79" s="8">
        <v>0.00522</v>
      </c>
      <c r="I79" s="8">
        <v>25.92593</v>
      </c>
      <c r="J79" s="8">
        <v>25.92593</v>
      </c>
    </row>
    <row r="80" customHeight="1" spans="1:10">
      <c r="A80" s="221"/>
      <c r="B80" s="47">
        <v>2473</v>
      </c>
      <c r="C80" s="8">
        <v>0.12668</v>
      </c>
      <c r="D80" s="8">
        <v>0.04731</v>
      </c>
      <c r="E80" s="8">
        <v>0.091</v>
      </c>
      <c r="F80" s="8">
        <v>8.81003</v>
      </c>
      <c r="G80" s="8">
        <v>-91</v>
      </c>
      <c r="H80" s="8">
        <v>0.00687</v>
      </c>
      <c r="I80" s="8">
        <v>27.18447</v>
      </c>
      <c r="J80" s="8">
        <v>27.18447</v>
      </c>
    </row>
    <row r="81" customHeight="1" spans="1:10">
      <c r="A81" s="221"/>
      <c r="B81" s="47">
        <v>2474</v>
      </c>
      <c r="C81" s="8">
        <v>0.12329</v>
      </c>
      <c r="D81" s="8">
        <v>0.04841</v>
      </c>
      <c r="E81" s="8">
        <v>0.091</v>
      </c>
      <c r="F81" s="8">
        <v>8.78915</v>
      </c>
      <c r="G81" s="8">
        <v>-92</v>
      </c>
      <c r="H81" s="8">
        <v>0.00282</v>
      </c>
      <c r="I81" s="8">
        <v>17.58242</v>
      </c>
      <c r="J81" s="8">
        <v>17.58242</v>
      </c>
    </row>
    <row r="82" customHeight="1" spans="1:10">
      <c r="A82" s="221"/>
      <c r="B82" s="47">
        <v>2475</v>
      </c>
      <c r="C82" s="8">
        <v>0.13451</v>
      </c>
      <c r="D82" s="8">
        <v>0.04943</v>
      </c>
      <c r="E82" s="8">
        <v>0.094</v>
      </c>
      <c r="F82" s="8">
        <v>8.76318</v>
      </c>
      <c r="G82" s="8">
        <v>-93</v>
      </c>
      <c r="H82" s="8">
        <v>0.00933</v>
      </c>
      <c r="I82" s="8">
        <v>32.8125</v>
      </c>
      <c r="J82" s="8">
        <v>32.8125</v>
      </c>
    </row>
    <row r="83" customHeight="1" spans="1:10">
      <c r="A83" s="221"/>
      <c r="B83" s="47">
        <v>2476</v>
      </c>
      <c r="C83" s="8">
        <v>0.141</v>
      </c>
      <c r="D83" s="8">
        <v>0.05798</v>
      </c>
      <c r="E83" s="8">
        <v>0.105</v>
      </c>
      <c r="F83" s="8">
        <v>8.74957</v>
      </c>
      <c r="G83" s="8">
        <v>-92</v>
      </c>
      <c r="H83" s="8">
        <v>0.00203</v>
      </c>
      <c r="I83" s="8">
        <v>16.43454</v>
      </c>
      <c r="J83" s="8">
        <v>16.43454</v>
      </c>
    </row>
    <row r="84" customHeight="1" spans="1:10">
      <c r="A84" s="221"/>
      <c r="B84" s="47">
        <v>2477</v>
      </c>
      <c r="C84" s="8">
        <v>0.12424</v>
      </c>
      <c r="D84" s="8">
        <v>0.04761</v>
      </c>
      <c r="E84" s="8">
        <v>0.09</v>
      </c>
      <c r="F84" s="8">
        <v>8.72699</v>
      </c>
      <c r="G84" s="8">
        <v>-92</v>
      </c>
      <c r="H84" s="8">
        <v>0.00209</v>
      </c>
      <c r="I84" s="8">
        <v>15.21127</v>
      </c>
      <c r="J84" s="8">
        <v>15.21127</v>
      </c>
    </row>
    <row r="85" customHeight="1" spans="1:10">
      <c r="A85" s="221"/>
      <c r="B85" s="47">
        <v>2478</v>
      </c>
      <c r="C85" s="8">
        <v>0.13005</v>
      </c>
      <c r="D85" s="8">
        <v>0.05233</v>
      </c>
      <c r="E85" s="8">
        <v>0.096</v>
      </c>
      <c r="F85" s="8">
        <v>8.70316</v>
      </c>
      <c r="G85" s="8">
        <v>-93</v>
      </c>
      <c r="H85" s="8">
        <v>0.0081</v>
      </c>
      <c r="I85" s="8">
        <v>31.97279</v>
      </c>
      <c r="J85" s="8">
        <v>31.74603</v>
      </c>
    </row>
    <row r="86" customHeight="1" spans="1:10">
      <c r="A86" s="221"/>
      <c r="B86" s="47">
        <v>2479</v>
      </c>
      <c r="C86" s="8">
        <v>0.13096</v>
      </c>
      <c r="D86" s="8">
        <v>0.04908</v>
      </c>
      <c r="E86" s="8">
        <v>0.092</v>
      </c>
      <c r="F86" s="8">
        <v>8.67645</v>
      </c>
      <c r="G86" s="8">
        <v>-93</v>
      </c>
      <c r="H86" s="8">
        <v>0.0062</v>
      </c>
      <c r="I86" s="8">
        <v>29.41176</v>
      </c>
      <c r="J86" s="8">
        <v>29.17647</v>
      </c>
    </row>
    <row r="87" customHeight="1" spans="1:10">
      <c r="A87" s="224"/>
      <c r="B87" s="47">
        <v>2480</v>
      </c>
      <c r="C87" s="8">
        <v>0.12315</v>
      </c>
      <c r="D87" s="8">
        <v>0.04731</v>
      </c>
      <c r="E87" s="8">
        <v>0.089</v>
      </c>
      <c r="F87" s="8">
        <v>8.64484</v>
      </c>
      <c r="G87" s="8">
        <v>-93</v>
      </c>
      <c r="H87" s="8">
        <v>0.00657</v>
      </c>
      <c r="I87" s="8">
        <v>28.33333</v>
      </c>
      <c r="J87" s="8">
        <v>28.33333</v>
      </c>
    </row>
    <row r="88" customHeight="1" spans="1:10">
      <c r="A88" s="8" t="s">
        <v>52</v>
      </c>
      <c r="B88" s="225"/>
      <c r="C88" s="225">
        <f>AVERAGE(C9:C87)</f>
        <v>0.127894556962025</v>
      </c>
      <c r="D88" s="225"/>
      <c r="E88" s="225"/>
      <c r="F88" s="225"/>
      <c r="G88" s="225"/>
      <c r="H88" s="225"/>
      <c r="I88" s="225"/>
      <c r="J88" s="225"/>
    </row>
    <row r="95" customHeight="1" spans="11:11">
      <c r="K95" s="1" t="s">
        <v>53</v>
      </c>
    </row>
  </sheetData>
  <sheetProtection insertHyperlinks="0" autoFilter="0"/>
  <mergeCells count="10">
    <mergeCell ref="A1:J1"/>
    <mergeCell ref="B2:E2"/>
    <mergeCell ref="G2:J2"/>
    <mergeCell ref="B3:E3"/>
    <mergeCell ref="G3:J3"/>
    <mergeCell ref="B4:J4"/>
    <mergeCell ref="B5:J5"/>
    <mergeCell ref="B6:J6"/>
    <mergeCell ref="B7:J7"/>
    <mergeCell ref="A7:A8"/>
  </mergeCells>
  <conditionalFormatting sqref="C9:C87">
    <cfRule type="cellIs" dxfId="2" priority="95" stopIfTrue="1" operator="greaterThan">
      <formula>25</formula>
    </cfRule>
  </conditionalFormatting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84"/>
  <sheetViews>
    <sheetView workbookViewId="0">
      <selection activeCell="E3" sqref="E3:G3"/>
    </sheetView>
  </sheetViews>
  <sheetFormatPr defaultColWidth="9" defaultRowHeight="14.25" customHeight="1"/>
  <cols>
    <col min="2" max="2" width="12.3333333333333" style="1" customWidth="1"/>
    <col min="3" max="3" width="10.8333333333333" style="1" customWidth="1"/>
    <col min="4" max="4" width="12" style="1" customWidth="1"/>
    <col min="5" max="5" width="11.1666666666667" style="1" customWidth="1"/>
    <col min="8" max="8" width="14" style="1" customWidth="1"/>
    <col min="9" max="9" width="10.5" style="1" customWidth="1"/>
    <col min="10" max="10" width="12" style="1" customWidth="1"/>
    <col min="11" max="11" width="13" style="1" customWidth="1"/>
  </cols>
  <sheetData>
    <row r="1" ht="35" customHeight="1" spans="1:11">
      <c r="A1" s="198" t="s">
        <v>54</v>
      </c>
      <c r="B1" s="199"/>
      <c r="C1" s="199"/>
      <c r="D1" s="199"/>
      <c r="E1" s="199"/>
      <c r="F1" s="199"/>
      <c r="G1" s="199"/>
      <c r="H1" s="199"/>
      <c r="I1" s="199"/>
      <c r="J1" s="199"/>
      <c r="K1" s="216"/>
    </row>
    <row r="2" ht="22.85" customHeight="1" spans="1:14">
      <c r="A2" s="6" t="s">
        <v>32</v>
      </c>
      <c r="B2" s="200">
        <v>45825</v>
      </c>
      <c r="C2" s="201"/>
      <c r="D2" s="6" t="s">
        <v>33</v>
      </c>
      <c r="E2" s="47" t="s">
        <v>15</v>
      </c>
      <c r="F2" s="50"/>
      <c r="G2" s="48"/>
      <c r="H2" s="6" t="s">
        <v>34</v>
      </c>
      <c r="I2" s="202"/>
      <c r="J2" s="204"/>
      <c r="K2" s="201"/>
      <c r="L2" s="100"/>
      <c r="M2" s="100"/>
      <c r="N2" s="100"/>
    </row>
    <row r="3" ht="21" customHeight="1" spans="1:14">
      <c r="A3" s="6" t="s">
        <v>55</v>
      </c>
      <c r="B3" s="202"/>
      <c r="C3" s="201"/>
      <c r="D3" s="6" t="s">
        <v>56</v>
      </c>
      <c r="E3" s="47" t="s">
        <v>8</v>
      </c>
      <c r="F3" s="50"/>
      <c r="G3" s="48"/>
      <c r="H3" s="8"/>
      <c r="I3" s="202"/>
      <c r="J3" s="204"/>
      <c r="K3" s="201"/>
      <c r="L3" s="100"/>
      <c r="M3" s="100"/>
      <c r="N3" s="100"/>
    </row>
    <row r="4" ht="36" customHeight="1" spans="1:14">
      <c r="A4" s="6" t="s">
        <v>39</v>
      </c>
      <c r="B4" s="203" t="s">
        <v>57</v>
      </c>
      <c r="C4" s="204"/>
      <c r="D4" s="204"/>
      <c r="E4" s="204"/>
      <c r="F4" s="204"/>
      <c r="G4" s="204"/>
      <c r="H4" s="204"/>
      <c r="I4" s="204"/>
      <c r="J4" s="204"/>
      <c r="K4" s="201"/>
      <c r="L4" s="100"/>
      <c r="M4" s="100"/>
      <c r="N4" s="100"/>
    </row>
    <row r="5" ht="21" customHeight="1" spans="1:14">
      <c r="A5" s="6" t="s">
        <v>41</v>
      </c>
      <c r="B5" s="202"/>
      <c r="C5" s="204"/>
      <c r="D5" s="204"/>
      <c r="E5" s="204"/>
      <c r="F5" s="204"/>
      <c r="G5" s="204"/>
      <c r="H5" s="204"/>
      <c r="I5" s="204"/>
      <c r="J5" s="204"/>
      <c r="K5" s="201"/>
      <c r="L5" s="100"/>
      <c r="M5" s="100"/>
      <c r="N5" s="100"/>
    </row>
    <row r="6" ht="16.5" customHeight="1" spans="1:14">
      <c r="A6" s="72" t="s">
        <v>58</v>
      </c>
      <c r="B6" s="72"/>
      <c r="C6" s="72"/>
      <c r="D6" s="72"/>
      <c r="E6" s="72"/>
      <c r="F6" s="78"/>
      <c r="G6" s="78"/>
      <c r="H6" s="78"/>
      <c r="I6" s="78"/>
      <c r="J6" s="78"/>
      <c r="K6" s="78"/>
      <c r="L6" s="100"/>
      <c r="M6" s="100"/>
      <c r="N6" s="100"/>
    </row>
    <row r="7" ht="16.5" customHeight="1" spans="1:14">
      <c r="A7" s="184" t="s">
        <v>37</v>
      </c>
      <c r="B7" s="89" t="s">
        <v>59</v>
      </c>
      <c r="C7" s="89"/>
      <c r="D7" s="89"/>
      <c r="E7" s="89"/>
      <c r="F7" s="91"/>
      <c r="G7" s="195"/>
      <c r="H7" s="195"/>
      <c r="I7" s="195"/>
      <c r="J7" s="195"/>
      <c r="K7" s="179"/>
      <c r="L7" s="100"/>
      <c r="M7" s="100"/>
      <c r="N7" s="100"/>
    </row>
    <row r="8" ht="16.5" customHeight="1" spans="1:14">
      <c r="A8" s="94"/>
      <c r="B8" s="94" t="s">
        <v>60</v>
      </c>
      <c r="C8" s="94" t="s">
        <v>61</v>
      </c>
      <c r="D8" s="94" t="s">
        <v>62</v>
      </c>
      <c r="E8" s="205" t="s">
        <v>63</v>
      </c>
      <c r="F8" s="205"/>
      <c r="G8" s="90"/>
      <c r="H8" s="90"/>
      <c r="I8" s="90"/>
      <c r="J8" s="90"/>
      <c r="K8" s="207"/>
      <c r="L8" s="100"/>
      <c r="M8" s="100"/>
      <c r="N8" s="100"/>
    </row>
    <row r="9" ht="17.25" customHeight="1" spans="1:14">
      <c r="A9" s="8" t="s">
        <v>64</v>
      </c>
      <c r="B9" s="8">
        <v>2402</v>
      </c>
      <c r="C9" s="85">
        <v>9.8</v>
      </c>
      <c r="D9" s="85">
        <v>-92</v>
      </c>
      <c r="E9" s="51"/>
      <c r="F9" s="205"/>
      <c r="G9" s="90"/>
      <c r="H9" s="90"/>
      <c r="I9" s="90"/>
      <c r="J9" s="90"/>
      <c r="K9" s="207"/>
      <c r="L9" s="100"/>
      <c r="M9" s="100"/>
      <c r="N9" s="100"/>
    </row>
    <row r="10" ht="17.25" customHeight="1" spans="1:14">
      <c r="A10" s="8"/>
      <c r="B10" s="8">
        <v>2441</v>
      </c>
      <c r="C10" s="85">
        <v>9.5</v>
      </c>
      <c r="D10" s="85">
        <v>-92</v>
      </c>
      <c r="E10" s="51"/>
      <c r="F10" s="205"/>
      <c r="G10" s="90"/>
      <c r="H10" s="90"/>
      <c r="I10" s="90"/>
      <c r="J10" s="90"/>
      <c r="K10" s="207"/>
      <c r="L10" s="100"/>
      <c r="M10" s="100"/>
      <c r="N10" s="100"/>
    </row>
    <row r="11" ht="17.25" customHeight="1" spans="1:14">
      <c r="A11" s="15"/>
      <c r="B11" s="15">
        <v>2480</v>
      </c>
      <c r="C11" s="85">
        <v>8.6</v>
      </c>
      <c r="D11" s="85">
        <v>-93</v>
      </c>
      <c r="E11" s="51"/>
      <c r="F11" s="178"/>
      <c r="G11" s="196"/>
      <c r="H11" s="196"/>
      <c r="I11" s="196"/>
      <c r="J11" s="196"/>
      <c r="K11" s="177"/>
      <c r="L11" s="100"/>
      <c r="M11" s="100"/>
      <c r="N11" s="100"/>
    </row>
    <row r="12" ht="16.5" hidden="1" customHeight="1" spans="1:14">
      <c r="A12" s="92" t="s">
        <v>65</v>
      </c>
      <c r="B12" s="92"/>
      <c r="C12" s="92"/>
      <c r="D12" s="92"/>
      <c r="E12" s="92"/>
      <c r="F12" s="87"/>
      <c r="G12" s="87"/>
      <c r="H12" s="87"/>
      <c r="I12" s="87"/>
      <c r="J12" s="87"/>
      <c r="K12" s="87"/>
      <c r="L12" s="100"/>
      <c r="M12" s="100"/>
      <c r="N12" s="100"/>
    </row>
    <row r="13" ht="16.5" hidden="1" customHeight="1" spans="1:14">
      <c r="A13" s="88" t="s">
        <v>66</v>
      </c>
      <c r="B13" s="89" t="s">
        <v>67</v>
      </c>
      <c r="C13" s="89"/>
      <c r="D13" s="89"/>
      <c r="E13" s="206"/>
      <c r="F13" s="90"/>
      <c r="G13" s="88" t="s">
        <v>66</v>
      </c>
      <c r="H13" s="89" t="s">
        <v>67</v>
      </c>
      <c r="I13" s="89"/>
      <c r="J13" s="89"/>
      <c r="K13" s="206"/>
      <c r="L13" s="100"/>
      <c r="M13" s="100"/>
      <c r="N13" s="100"/>
    </row>
    <row r="14" ht="16.5" hidden="1" customHeight="1" spans="1:14">
      <c r="A14" s="8" t="s">
        <v>68</v>
      </c>
      <c r="B14" s="91"/>
      <c r="C14" s="195"/>
      <c r="D14" s="195"/>
      <c r="E14" s="179"/>
      <c r="F14" s="90"/>
      <c r="G14" s="8" t="s">
        <v>69</v>
      </c>
      <c r="H14" s="91"/>
      <c r="I14" s="195"/>
      <c r="J14" s="195"/>
      <c r="K14" s="179"/>
      <c r="L14" s="100"/>
      <c r="M14" s="100"/>
      <c r="N14" s="100"/>
    </row>
    <row r="15" ht="16.5" hidden="1" customHeight="1" spans="1:14">
      <c r="A15" s="8"/>
      <c r="B15" s="205"/>
      <c r="C15" s="90"/>
      <c r="D15" s="90"/>
      <c r="E15" s="207"/>
      <c r="F15" s="90"/>
      <c r="G15" s="8"/>
      <c r="H15" s="205"/>
      <c r="I15" s="90"/>
      <c r="J15" s="90"/>
      <c r="K15" s="207"/>
      <c r="L15" s="100"/>
      <c r="M15" s="100"/>
      <c r="N15" s="100"/>
    </row>
    <row r="16" ht="16.5" hidden="1" customHeight="1" spans="1:14">
      <c r="A16" s="8"/>
      <c r="B16" s="205"/>
      <c r="C16" s="90"/>
      <c r="D16" s="90"/>
      <c r="E16" s="207"/>
      <c r="F16" s="90"/>
      <c r="G16" s="8"/>
      <c r="H16" s="205"/>
      <c r="I16" s="90"/>
      <c r="J16" s="90"/>
      <c r="K16" s="207"/>
      <c r="L16" s="100"/>
      <c r="M16" s="100"/>
      <c r="N16" s="100"/>
    </row>
    <row r="17" ht="16.5" hidden="1" customHeight="1" spans="1:14">
      <c r="A17" s="8"/>
      <c r="B17" s="205"/>
      <c r="C17" s="90"/>
      <c r="D17" s="90"/>
      <c r="E17" s="207"/>
      <c r="F17" s="90"/>
      <c r="G17" s="8"/>
      <c r="H17" s="205"/>
      <c r="I17" s="90"/>
      <c r="J17" s="90"/>
      <c r="K17" s="207"/>
      <c r="L17" s="100"/>
      <c r="M17" s="100"/>
      <c r="N17" s="100"/>
    </row>
    <row r="18" ht="16.5" hidden="1" customHeight="1" spans="1:14">
      <c r="A18" s="8"/>
      <c r="B18" s="205"/>
      <c r="C18" s="90"/>
      <c r="D18" s="90"/>
      <c r="E18" s="207"/>
      <c r="F18" s="90"/>
      <c r="G18" s="8"/>
      <c r="H18" s="205"/>
      <c r="I18" s="90"/>
      <c r="J18" s="90"/>
      <c r="K18" s="207"/>
      <c r="L18" s="100"/>
      <c r="M18" s="100"/>
      <c r="N18" s="100"/>
    </row>
    <row r="19" ht="16.5" hidden="1" customHeight="1" spans="1:14">
      <c r="A19" s="8"/>
      <c r="B19" s="205"/>
      <c r="C19" s="90"/>
      <c r="D19" s="90"/>
      <c r="E19" s="207"/>
      <c r="F19" s="90"/>
      <c r="G19" s="8"/>
      <c r="H19" s="205"/>
      <c r="I19" s="90"/>
      <c r="J19" s="90"/>
      <c r="K19" s="207"/>
      <c r="L19" s="100"/>
      <c r="M19" s="100"/>
      <c r="N19" s="100"/>
    </row>
    <row r="20" ht="16.5" hidden="1" customHeight="1" spans="1:14">
      <c r="A20" s="8"/>
      <c r="B20" s="205"/>
      <c r="C20" s="90"/>
      <c r="D20" s="90"/>
      <c r="E20" s="207"/>
      <c r="F20" s="90"/>
      <c r="G20" s="8"/>
      <c r="H20" s="205"/>
      <c r="I20" s="90"/>
      <c r="J20" s="90"/>
      <c r="K20" s="207"/>
      <c r="L20" s="100"/>
      <c r="M20" s="100"/>
      <c r="N20" s="100"/>
    </row>
    <row r="21" ht="16.5" hidden="1" customHeight="1" spans="1:14">
      <c r="A21" s="15"/>
      <c r="B21" s="205"/>
      <c r="C21" s="90"/>
      <c r="D21" s="90"/>
      <c r="E21" s="207"/>
      <c r="F21" s="90"/>
      <c r="G21" s="15"/>
      <c r="H21" s="205"/>
      <c r="I21" s="90"/>
      <c r="J21" s="90"/>
      <c r="K21" s="207"/>
      <c r="L21" s="100"/>
      <c r="M21" s="100"/>
      <c r="N21" s="100"/>
    </row>
    <row r="22" ht="16.5" hidden="1" customHeight="1" spans="1:14">
      <c r="A22" s="15"/>
      <c r="B22" s="205"/>
      <c r="C22" s="90"/>
      <c r="D22" s="90"/>
      <c r="E22" s="207"/>
      <c r="F22" s="90"/>
      <c r="G22" s="15"/>
      <c r="H22" s="205"/>
      <c r="I22" s="90"/>
      <c r="J22" s="90"/>
      <c r="K22" s="207"/>
      <c r="L22" s="100"/>
      <c r="M22" s="100"/>
      <c r="N22" s="100"/>
    </row>
    <row r="23" ht="16.5" hidden="1" customHeight="1" spans="1:14">
      <c r="A23" s="15"/>
      <c r="B23" s="205"/>
      <c r="C23" s="90"/>
      <c r="D23" s="90"/>
      <c r="E23" s="207"/>
      <c r="F23" s="90"/>
      <c r="G23" s="15"/>
      <c r="H23" s="178"/>
      <c r="I23" s="196"/>
      <c r="J23" s="196"/>
      <c r="K23" s="177"/>
      <c r="L23" s="100"/>
      <c r="M23" s="100"/>
      <c r="N23" s="100"/>
    </row>
    <row r="24" ht="16.5" hidden="1" customHeight="1" spans="1:14">
      <c r="A24" s="92" t="s">
        <v>70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100"/>
      <c r="M24" s="100"/>
      <c r="N24" s="100"/>
    </row>
    <row r="25" ht="16.5" hidden="1" customHeight="1" spans="1:14">
      <c r="A25" s="8"/>
      <c r="B25" s="8" t="s">
        <v>60</v>
      </c>
      <c r="C25" s="8" t="s">
        <v>71</v>
      </c>
      <c r="D25" s="8" t="s">
        <v>72</v>
      </c>
      <c r="E25" s="8" t="s">
        <v>73</v>
      </c>
      <c r="F25" s="90"/>
      <c r="G25" s="8"/>
      <c r="H25" s="8" t="s">
        <v>60</v>
      </c>
      <c r="I25" s="8" t="s">
        <v>71</v>
      </c>
      <c r="J25" s="8" t="s">
        <v>72</v>
      </c>
      <c r="K25" s="8" t="s">
        <v>74</v>
      </c>
      <c r="L25" s="100"/>
      <c r="M25" s="100"/>
      <c r="N25" s="100"/>
    </row>
    <row r="26" ht="17.25" hidden="1" customHeight="1" spans="1:14">
      <c r="A26" s="8" t="s">
        <v>68</v>
      </c>
      <c r="B26" s="8">
        <v>2400</v>
      </c>
      <c r="C26" s="93"/>
      <c r="D26" s="85"/>
      <c r="E26" s="85"/>
      <c r="F26" s="90"/>
      <c r="G26" s="94" t="s">
        <v>69</v>
      </c>
      <c r="H26" s="94">
        <v>2400</v>
      </c>
      <c r="I26" s="93"/>
      <c r="J26" s="85"/>
      <c r="K26" s="85"/>
      <c r="L26" s="100"/>
      <c r="M26" s="100"/>
      <c r="N26" s="100"/>
    </row>
    <row r="27" ht="17.25" hidden="1" customHeight="1" spans="1:14">
      <c r="A27" s="8"/>
      <c r="B27" s="8">
        <v>2410</v>
      </c>
      <c r="C27" s="93"/>
      <c r="D27" s="85"/>
      <c r="E27" s="85"/>
      <c r="F27" s="90"/>
      <c r="G27" s="94"/>
      <c r="H27" s="8">
        <v>2410</v>
      </c>
      <c r="I27" s="93"/>
      <c r="J27" s="85"/>
      <c r="K27" s="85"/>
      <c r="L27" s="100"/>
      <c r="M27" s="100"/>
      <c r="N27" s="100"/>
    </row>
    <row r="28" ht="17.25" hidden="1" customHeight="1" spans="1:14">
      <c r="A28" s="8"/>
      <c r="B28" s="8">
        <v>2420</v>
      </c>
      <c r="C28" s="93"/>
      <c r="D28" s="85"/>
      <c r="E28" s="85"/>
      <c r="F28" s="90"/>
      <c r="G28" s="94"/>
      <c r="H28" s="8">
        <v>2420</v>
      </c>
      <c r="I28" s="93"/>
      <c r="J28" s="85"/>
      <c r="K28" s="85"/>
      <c r="L28" s="100"/>
      <c r="M28" s="100"/>
      <c r="N28" s="100"/>
    </row>
    <row r="29" ht="17.25" hidden="1" customHeight="1" spans="1:14">
      <c r="A29" s="8"/>
      <c r="B29" s="8">
        <v>2430</v>
      </c>
      <c r="C29" s="93"/>
      <c r="D29" s="85"/>
      <c r="E29" s="85"/>
      <c r="F29" s="90"/>
      <c r="G29" s="94"/>
      <c r="H29" s="15">
        <v>2430</v>
      </c>
      <c r="I29" s="93"/>
      <c r="J29" s="85"/>
      <c r="K29" s="85"/>
      <c r="L29" s="100"/>
      <c r="M29" s="100"/>
      <c r="N29" s="100"/>
    </row>
    <row r="30" ht="17.25" hidden="1" customHeight="1" spans="1:14">
      <c r="A30" s="8"/>
      <c r="B30" s="8">
        <v>2440</v>
      </c>
      <c r="C30" s="93"/>
      <c r="D30" s="85"/>
      <c r="E30" s="85"/>
      <c r="F30" s="90"/>
      <c r="G30" s="94"/>
      <c r="H30" s="15">
        <v>2440</v>
      </c>
      <c r="I30" s="93"/>
      <c r="J30" s="85"/>
      <c r="K30" s="85"/>
      <c r="L30" s="100"/>
      <c r="M30" s="100"/>
      <c r="N30" s="100"/>
    </row>
    <row r="31" ht="17.25" hidden="1" customHeight="1" spans="1:14">
      <c r="A31" s="8"/>
      <c r="B31" s="8">
        <v>2450</v>
      </c>
      <c r="C31" s="93"/>
      <c r="D31" s="85"/>
      <c r="E31" s="85"/>
      <c r="F31" s="90"/>
      <c r="G31" s="94"/>
      <c r="H31" s="15">
        <v>2450</v>
      </c>
      <c r="I31" s="93"/>
      <c r="J31" s="85"/>
      <c r="K31" s="85"/>
      <c r="L31" s="100"/>
      <c r="M31" s="100"/>
      <c r="N31" s="100"/>
    </row>
    <row r="32" ht="17.25" hidden="1" customHeight="1" spans="1:14">
      <c r="A32" s="8"/>
      <c r="B32" s="8">
        <v>2460</v>
      </c>
      <c r="C32" s="93"/>
      <c r="D32" s="85"/>
      <c r="E32" s="85"/>
      <c r="F32" s="90"/>
      <c r="G32" s="94"/>
      <c r="H32" s="15">
        <v>2460</v>
      </c>
      <c r="I32" s="93"/>
      <c r="J32" s="85"/>
      <c r="K32" s="85"/>
      <c r="L32" s="100"/>
      <c r="M32" s="100"/>
      <c r="N32" s="100"/>
    </row>
    <row r="33" ht="17.25" hidden="1" customHeight="1" spans="1:14">
      <c r="A33" s="8"/>
      <c r="B33" s="8">
        <v>2470</v>
      </c>
      <c r="C33" s="93"/>
      <c r="D33" s="85"/>
      <c r="E33" s="85"/>
      <c r="F33" s="90"/>
      <c r="G33" s="94"/>
      <c r="H33" s="15">
        <v>2470</v>
      </c>
      <c r="I33" s="93"/>
      <c r="J33" s="85"/>
      <c r="K33" s="85"/>
      <c r="L33" s="100"/>
      <c r="M33" s="100"/>
      <c r="N33" s="100"/>
    </row>
    <row r="34" ht="17.25" hidden="1" customHeight="1" spans="1:14">
      <c r="A34" s="8"/>
      <c r="B34" s="8">
        <v>2480</v>
      </c>
      <c r="C34" s="93"/>
      <c r="D34" s="85"/>
      <c r="E34" s="85"/>
      <c r="F34" s="90"/>
      <c r="G34" s="94"/>
      <c r="H34" s="15">
        <v>2480</v>
      </c>
      <c r="I34" s="93"/>
      <c r="J34" s="85"/>
      <c r="K34" s="85"/>
      <c r="L34" s="100"/>
      <c r="M34" s="100"/>
      <c r="N34" s="100"/>
    </row>
    <row r="35" ht="16.5" hidden="1" customHeight="1" spans="1:14">
      <c r="A35" s="92" t="s">
        <v>75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100"/>
      <c r="M35" s="100"/>
      <c r="N35" s="100"/>
    </row>
    <row r="36" ht="16.5" hidden="1" customHeight="1" spans="1:14">
      <c r="A36" s="8" t="s">
        <v>68</v>
      </c>
      <c r="B36" s="8"/>
      <c r="C36" s="8"/>
      <c r="D36" s="8"/>
      <c r="E36" s="8"/>
      <c r="F36" s="90"/>
      <c r="G36" s="8" t="s">
        <v>69</v>
      </c>
      <c r="H36" s="91"/>
      <c r="I36" s="195"/>
      <c r="J36" s="195"/>
      <c r="K36" s="179"/>
      <c r="L36" s="100"/>
      <c r="M36" s="100"/>
      <c r="N36" s="100"/>
    </row>
    <row r="37" ht="16.5" hidden="1" customHeight="1" spans="1:14">
      <c r="A37" s="8"/>
      <c r="B37" s="8"/>
      <c r="C37" s="8"/>
      <c r="D37" s="8"/>
      <c r="E37" s="8"/>
      <c r="F37" s="90"/>
      <c r="G37" s="8"/>
      <c r="H37" s="205"/>
      <c r="I37" s="90"/>
      <c r="J37" s="90"/>
      <c r="K37" s="207"/>
      <c r="L37" s="100"/>
      <c r="M37" s="100"/>
      <c r="N37" s="100"/>
    </row>
    <row r="38" ht="16.5" hidden="1" customHeight="1" spans="1:14">
      <c r="A38" s="8"/>
      <c r="B38" s="8"/>
      <c r="C38" s="8"/>
      <c r="D38" s="8"/>
      <c r="E38" s="8"/>
      <c r="F38" s="90"/>
      <c r="G38" s="8"/>
      <c r="H38" s="205"/>
      <c r="I38" s="90"/>
      <c r="J38" s="90"/>
      <c r="K38" s="207"/>
      <c r="L38" s="100"/>
      <c r="M38" s="100"/>
      <c r="N38" s="100"/>
    </row>
    <row r="39" ht="16.5" hidden="1" customHeight="1" spans="1:14">
      <c r="A39" s="8"/>
      <c r="B39" s="8"/>
      <c r="C39" s="8"/>
      <c r="D39" s="8"/>
      <c r="E39" s="8"/>
      <c r="F39" s="90"/>
      <c r="G39" s="15"/>
      <c r="H39" s="205"/>
      <c r="I39" s="90"/>
      <c r="J39" s="90"/>
      <c r="K39" s="207"/>
      <c r="L39" s="100"/>
      <c r="M39" s="100"/>
      <c r="N39" s="100"/>
    </row>
    <row r="40" ht="16.5" hidden="1" customHeight="1" spans="1:14">
      <c r="A40" s="8"/>
      <c r="B40" s="8"/>
      <c r="C40" s="8"/>
      <c r="D40" s="8"/>
      <c r="E40" s="8"/>
      <c r="F40" s="90"/>
      <c r="G40" s="15"/>
      <c r="H40" s="205"/>
      <c r="I40" s="90"/>
      <c r="J40" s="90"/>
      <c r="K40" s="207"/>
      <c r="L40" s="100"/>
      <c r="M40" s="100"/>
      <c r="N40" s="100"/>
    </row>
    <row r="41" ht="16.5" hidden="1" customHeight="1" spans="1:14">
      <c r="A41" s="8"/>
      <c r="B41" s="8"/>
      <c r="C41" s="8"/>
      <c r="D41" s="8"/>
      <c r="E41" s="8"/>
      <c r="F41" s="90"/>
      <c r="G41" s="15"/>
      <c r="H41" s="178"/>
      <c r="I41" s="196"/>
      <c r="J41" s="196"/>
      <c r="K41" s="177"/>
      <c r="L41" s="100"/>
      <c r="M41" s="100"/>
      <c r="N41" s="100"/>
    </row>
    <row r="42" ht="16.5" customHeight="1" spans="1:18">
      <c r="A42" s="81" t="s">
        <v>76</v>
      </c>
      <c r="B42" s="81"/>
      <c r="C42" s="81"/>
      <c r="D42" s="81"/>
      <c r="E42" s="81"/>
      <c r="F42" s="72"/>
      <c r="G42" s="72"/>
      <c r="H42" s="72"/>
      <c r="I42" s="72"/>
      <c r="J42" s="72"/>
      <c r="K42" s="72"/>
      <c r="L42" s="100"/>
      <c r="M42" s="100"/>
      <c r="N42" s="100"/>
      <c r="R42" s="101"/>
    </row>
    <row r="43" ht="16.5" customHeight="1" spans="1:14">
      <c r="A43" s="184" t="s">
        <v>37</v>
      </c>
      <c r="B43" s="208" t="s">
        <v>77</v>
      </c>
      <c r="C43" s="208"/>
      <c r="D43" s="208"/>
      <c r="E43" s="209"/>
      <c r="F43" s="90"/>
      <c r="G43" s="184" t="s">
        <v>37</v>
      </c>
      <c r="H43" s="208" t="s">
        <v>77</v>
      </c>
      <c r="I43" s="208"/>
      <c r="J43" s="208"/>
      <c r="K43" s="209"/>
      <c r="L43" s="100"/>
      <c r="M43" s="100"/>
      <c r="N43" s="100"/>
    </row>
    <row r="44" ht="16.5" customHeight="1" spans="1:14">
      <c r="A44" s="15"/>
      <c r="B44" s="15" t="s">
        <v>60</v>
      </c>
      <c r="C44" s="15" t="s">
        <v>78</v>
      </c>
      <c r="D44" s="15" t="s">
        <v>79</v>
      </c>
      <c r="E44" s="15" t="s">
        <v>63</v>
      </c>
      <c r="F44" s="90"/>
      <c r="G44" s="15"/>
      <c r="H44" s="8" t="s">
        <v>60</v>
      </c>
      <c r="I44" s="8" t="s">
        <v>78</v>
      </c>
      <c r="J44" s="8" t="s">
        <v>79</v>
      </c>
      <c r="K44" s="8" t="s">
        <v>63</v>
      </c>
      <c r="L44" s="100"/>
      <c r="M44" s="100"/>
      <c r="N44" s="100"/>
    </row>
    <row r="45" ht="16.5" customHeight="1" spans="1:14">
      <c r="A45" s="8" t="s">
        <v>68</v>
      </c>
      <c r="B45" s="8">
        <v>2402</v>
      </c>
      <c r="C45" s="210">
        <v>-3.701</v>
      </c>
      <c r="D45" s="210">
        <v>-82.198</v>
      </c>
      <c r="E45" s="9"/>
      <c r="F45" s="90"/>
      <c r="G45" s="8" t="s">
        <v>69</v>
      </c>
      <c r="H45" s="8">
        <v>2402</v>
      </c>
      <c r="I45" s="210">
        <v>0.02029</v>
      </c>
      <c r="J45" s="211">
        <v>-86.857</v>
      </c>
      <c r="K45" s="9"/>
      <c r="L45" s="100"/>
      <c r="M45" s="100"/>
      <c r="N45" s="100"/>
    </row>
    <row r="46" ht="16.5" customHeight="1" spans="1:14">
      <c r="A46" s="8"/>
      <c r="B46" s="8">
        <v>2441</v>
      </c>
      <c r="C46" s="210">
        <v>-0.5208</v>
      </c>
      <c r="D46" s="210">
        <v>-82.928</v>
      </c>
      <c r="E46" s="9"/>
      <c r="F46" s="90"/>
      <c r="G46" s="8"/>
      <c r="H46" s="8">
        <v>2441</v>
      </c>
      <c r="I46" s="211">
        <v>2.7952</v>
      </c>
      <c r="J46" s="211">
        <v>-87.294</v>
      </c>
      <c r="K46" s="9"/>
      <c r="L46" s="100"/>
      <c r="M46" s="100"/>
      <c r="N46" s="100"/>
    </row>
    <row r="47" ht="16.5" customHeight="1" spans="1:14">
      <c r="A47" s="8"/>
      <c r="B47" s="8">
        <v>2480</v>
      </c>
      <c r="C47" s="210">
        <v>1.6315</v>
      </c>
      <c r="D47" s="211">
        <v>-84.523</v>
      </c>
      <c r="E47" s="9"/>
      <c r="F47" s="90"/>
      <c r="G47" s="15"/>
      <c r="H47" s="15">
        <v>2480</v>
      </c>
      <c r="I47" s="217">
        <v>3.81411</v>
      </c>
      <c r="J47" s="217">
        <v>-87.854</v>
      </c>
      <c r="K47" s="14"/>
      <c r="L47" s="100"/>
      <c r="M47" s="100"/>
      <c r="N47" s="100"/>
    </row>
    <row r="48" ht="16.5" hidden="1" customHeight="1" spans="1:14">
      <c r="A48" s="212" t="str">
        <f>_xlfn.DISPIMG("ID_EF022CEAADC740309AE5B5E211B6AF7F",1)</f>
        <v>=DISPIMG("ID_EF022CEAADC740309AE5B5E211B6AF7F",1)</v>
      </c>
      <c r="B48" s="212"/>
      <c r="C48" s="212"/>
      <c r="D48" s="212"/>
      <c r="E48" s="212"/>
      <c r="F48" s="96"/>
      <c r="G48" s="213"/>
      <c r="H48" s="96"/>
      <c r="I48" s="96"/>
      <c r="J48" s="96"/>
      <c r="K48" s="96"/>
      <c r="L48" s="100"/>
      <c r="M48" s="100"/>
      <c r="N48" s="100"/>
    </row>
    <row r="49" ht="16.5" hidden="1" customHeight="1" spans="1:14">
      <c r="A49" s="88" t="s">
        <v>66</v>
      </c>
      <c r="B49" s="89"/>
      <c r="C49" s="89"/>
      <c r="D49" s="89"/>
      <c r="E49" s="206"/>
      <c r="F49" s="90"/>
      <c r="G49" s="8" t="s">
        <v>66</v>
      </c>
      <c r="H49" s="89"/>
      <c r="I49" s="89"/>
      <c r="J49" s="89"/>
      <c r="K49" s="206"/>
      <c r="L49" s="100"/>
      <c r="M49" s="100"/>
      <c r="N49" s="100"/>
    </row>
    <row r="50" ht="16.5" hidden="1" customHeight="1" spans="1:14">
      <c r="A50" s="15"/>
      <c r="B50" s="15" t="s">
        <v>60</v>
      </c>
      <c r="C50" s="15" t="s">
        <v>80</v>
      </c>
      <c r="D50" s="15" t="s">
        <v>81</v>
      </c>
      <c r="E50" s="15" t="s">
        <v>63</v>
      </c>
      <c r="F50" s="90"/>
      <c r="G50" s="15"/>
      <c r="H50" s="8" t="s">
        <v>60</v>
      </c>
      <c r="I50" s="8" t="s">
        <v>80</v>
      </c>
      <c r="J50" s="8" t="s">
        <v>81</v>
      </c>
      <c r="K50" s="8" t="s">
        <v>63</v>
      </c>
      <c r="L50" s="100"/>
      <c r="M50" s="100"/>
      <c r="N50" s="100"/>
    </row>
    <row r="51" ht="16.5" hidden="1" customHeight="1" spans="1:14">
      <c r="A51" s="8" t="s">
        <v>68</v>
      </c>
      <c r="B51" s="8">
        <v>2402</v>
      </c>
      <c r="C51" s="97"/>
      <c r="D51" s="97"/>
      <c r="E51" s="9"/>
      <c r="F51" s="90"/>
      <c r="G51" s="8" t="s">
        <v>69</v>
      </c>
      <c r="H51" s="8">
        <v>2402</v>
      </c>
      <c r="I51" s="97"/>
      <c r="J51" s="97"/>
      <c r="K51" s="9"/>
      <c r="L51" s="100"/>
      <c r="M51" s="100"/>
      <c r="N51" s="100"/>
    </row>
    <row r="52" ht="16.5" hidden="1" customHeight="1" spans="1:14">
      <c r="A52" s="8"/>
      <c r="B52" s="8">
        <v>2441</v>
      </c>
      <c r="C52" s="97"/>
      <c r="D52" s="97"/>
      <c r="E52" s="9"/>
      <c r="F52" s="90"/>
      <c r="G52" s="8"/>
      <c r="H52" s="8">
        <v>2441</v>
      </c>
      <c r="I52" s="97"/>
      <c r="J52" s="97"/>
      <c r="K52" s="9"/>
      <c r="L52" s="100"/>
      <c r="M52" s="100"/>
      <c r="N52" s="100"/>
    </row>
    <row r="53" ht="16.5" hidden="1" customHeight="1" spans="1:14">
      <c r="A53" s="15"/>
      <c r="B53" s="15">
        <v>2480</v>
      </c>
      <c r="C53" s="214"/>
      <c r="D53" s="214"/>
      <c r="E53" s="14"/>
      <c r="F53" s="90"/>
      <c r="G53" s="15"/>
      <c r="H53" s="15">
        <v>2480</v>
      </c>
      <c r="I53" s="214"/>
      <c r="J53" s="214"/>
      <c r="K53" s="14"/>
      <c r="L53" s="100"/>
      <c r="M53" s="100"/>
      <c r="N53" s="100"/>
    </row>
    <row r="54" ht="254" customHeight="1" spans="1:14">
      <c r="A54" s="91" t="str">
        <f>_xlfn.DISPIMG("ID_7C49E9AB71D54120A223424EB54498FB",1)</f>
        <v>=DISPIMG("ID_7C49E9AB71D54120A223424EB54498FB",1)</v>
      </c>
      <c r="B54" s="195"/>
      <c r="C54" s="195"/>
      <c r="D54" s="195"/>
      <c r="E54" s="179"/>
      <c r="F54" s="15"/>
      <c r="G54" s="91" t="str">
        <f>_xlfn.DISPIMG("ID_DA4475C127D641D9A3B506EAE65BEC7C",1)</f>
        <v>=DISPIMG("ID_DA4475C127D641D9A3B506EAE65BEC7C",1)</v>
      </c>
      <c r="H54" s="195"/>
      <c r="I54" s="195"/>
      <c r="J54" s="195"/>
      <c r="K54" s="179"/>
      <c r="L54" s="100"/>
      <c r="M54" s="100"/>
      <c r="N54" s="100"/>
    </row>
    <row r="55" ht="230" customHeight="1" spans="1:11">
      <c r="A55" s="215" t="str">
        <f>_xlfn.DISPIMG("ID_3FB93201B90541F0A44E9E6266D8901A",1)</f>
        <v>=DISPIMG("ID_3FB93201B90541F0A44E9E6266D8901A",1)</v>
      </c>
      <c r="B55" s="215"/>
      <c r="C55" s="215"/>
      <c r="D55" s="215"/>
      <c r="E55" s="215"/>
      <c r="F55" s="215"/>
      <c r="G55" s="215" t="str">
        <f>_xlfn.DISPIMG("ID_3F0762D193B84B518CC99419CAE90DB9",1)</f>
        <v>=DISPIMG("ID_3F0762D193B84B518CC99419CAE90DB9",1)</v>
      </c>
      <c r="H55" s="215"/>
      <c r="I55" s="215"/>
      <c r="J55" s="215"/>
      <c r="K55" s="215"/>
    </row>
    <row r="56" customHeight="1" spans="1:11">
      <c r="A56" s="98"/>
      <c r="B56" s="99"/>
      <c r="C56" s="99"/>
      <c r="D56" s="99"/>
      <c r="E56" s="99"/>
      <c r="F56" s="98"/>
      <c r="G56" s="98"/>
      <c r="H56" s="99"/>
      <c r="I56" s="99"/>
      <c r="J56" s="99"/>
      <c r="K56" s="99"/>
    </row>
    <row r="57" customHeight="1" spans="1:11">
      <c r="A57" s="98"/>
      <c r="B57" s="99"/>
      <c r="C57" s="99"/>
      <c r="D57" s="99"/>
      <c r="E57" s="99"/>
      <c r="F57" s="98"/>
      <c r="G57" s="98"/>
      <c r="H57" s="99"/>
      <c r="I57" s="99"/>
      <c r="J57" s="99"/>
      <c r="K57" s="99"/>
    </row>
    <row r="58" customHeight="1" spans="1:11">
      <c r="A58" s="98"/>
      <c r="B58" s="99"/>
      <c r="C58" s="99"/>
      <c r="D58" s="99"/>
      <c r="E58" s="99"/>
      <c r="F58" s="98"/>
      <c r="G58" s="98"/>
      <c r="H58" s="99"/>
      <c r="I58" s="99"/>
      <c r="J58" s="99"/>
      <c r="K58" s="99"/>
    </row>
    <row r="59" customHeight="1" spans="1:11">
      <c r="A59" s="98"/>
      <c r="B59" s="99"/>
      <c r="C59" s="99"/>
      <c r="D59" s="99"/>
      <c r="E59" s="99"/>
      <c r="F59" s="98"/>
      <c r="G59" s="98"/>
      <c r="H59" s="99"/>
      <c r="I59" s="99"/>
      <c r="J59" s="99"/>
      <c r="K59" s="99"/>
    </row>
    <row r="60" customHeight="1" spans="1:11">
      <c r="A60" s="98"/>
      <c r="B60" s="99"/>
      <c r="C60" s="99"/>
      <c r="D60" s="99"/>
      <c r="E60" s="99"/>
      <c r="F60" s="98"/>
      <c r="G60" s="98"/>
      <c r="H60" s="99"/>
      <c r="I60" s="99"/>
      <c r="J60" s="99"/>
      <c r="K60" s="99"/>
    </row>
    <row r="61" customHeight="1" spans="1:11">
      <c r="A61" s="98"/>
      <c r="B61" s="99"/>
      <c r="C61" s="99"/>
      <c r="D61" s="99"/>
      <c r="E61" s="99"/>
      <c r="F61" s="98"/>
      <c r="G61" s="98"/>
      <c r="H61" s="99"/>
      <c r="I61" s="99"/>
      <c r="J61" s="99"/>
      <c r="K61" s="99"/>
    </row>
    <row r="62" customHeight="1" spans="1:11">
      <c r="A62" s="98"/>
      <c r="B62" s="99"/>
      <c r="C62" s="99"/>
      <c r="D62" s="99"/>
      <c r="E62" s="99"/>
      <c r="F62" s="98"/>
      <c r="G62" s="98"/>
      <c r="H62" s="99"/>
      <c r="I62" s="99"/>
      <c r="J62" s="99"/>
      <c r="K62" s="99"/>
    </row>
    <row r="63" customHeight="1" spans="1:11">
      <c r="A63" s="98"/>
      <c r="B63" s="99"/>
      <c r="C63" s="99"/>
      <c r="D63" s="99"/>
      <c r="E63" s="99"/>
      <c r="F63" s="98"/>
      <c r="G63" s="98"/>
      <c r="H63" s="99"/>
      <c r="I63" s="99"/>
      <c r="J63" s="99"/>
      <c r="K63" s="99"/>
    </row>
    <row r="64" customHeight="1" spans="1:11">
      <c r="A64" s="98"/>
      <c r="B64" s="99"/>
      <c r="C64" s="99"/>
      <c r="D64" s="99"/>
      <c r="E64" s="99"/>
      <c r="F64" s="98"/>
      <c r="G64" s="98"/>
      <c r="H64" s="99"/>
      <c r="I64" s="99"/>
      <c r="J64" s="99"/>
      <c r="K64" s="99"/>
    </row>
    <row r="65" customHeight="1" spans="1:11">
      <c r="A65" s="98"/>
      <c r="B65" s="99"/>
      <c r="C65" s="99"/>
      <c r="D65" s="99"/>
      <c r="E65" s="99"/>
      <c r="F65" s="98"/>
      <c r="G65" s="98"/>
      <c r="H65" s="99"/>
      <c r="I65" s="99"/>
      <c r="J65" s="99"/>
      <c r="K65" s="99"/>
    </row>
    <row r="66" customHeight="1" spans="1:11">
      <c r="A66" s="98"/>
      <c r="B66" s="99"/>
      <c r="C66" s="99"/>
      <c r="D66" s="99"/>
      <c r="E66" s="99"/>
      <c r="F66" s="98"/>
      <c r="G66" s="98"/>
      <c r="H66" s="99"/>
      <c r="I66" s="99"/>
      <c r="J66" s="99"/>
      <c r="K66" s="99"/>
    </row>
    <row r="67" customHeight="1" spans="1:11">
      <c r="A67" s="98"/>
      <c r="B67" s="99"/>
      <c r="C67" s="99"/>
      <c r="D67" s="99"/>
      <c r="E67" s="99"/>
      <c r="F67" s="98"/>
      <c r="G67" s="98"/>
      <c r="H67" s="99"/>
      <c r="I67" s="99"/>
      <c r="J67" s="99"/>
      <c r="K67" s="99"/>
    </row>
    <row r="68" customHeight="1" spans="1:11">
      <c r="A68" s="98"/>
      <c r="B68" s="99"/>
      <c r="C68" s="99"/>
      <c r="D68" s="99"/>
      <c r="E68" s="99"/>
      <c r="F68" s="98"/>
      <c r="G68" s="98"/>
      <c r="H68" s="99"/>
      <c r="I68" s="99"/>
      <c r="J68" s="99"/>
      <c r="K68" s="99"/>
    </row>
    <row r="69" customHeight="1" spans="1:11">
      <c r="A69" s="98"/>
      <c r="B69" s="99"/>
      <c r="C69" s="99"/>
      <c r="D69" s="99"/>
      <c r="E69" s="99"/>
      <c r="F69" s="98"/>
      <c r="G69" s="98"/>
      <c r="H69" s="99"/>
      <c r="I69" s="99"/>
      <c r="J69" s="99"/>
      <c r="K69" s="99"/>
    </row>
    <row r="70" customHeight="1" spans="1:11">
      <c r="A70" s="98"/>
      <c r="B70" s="99"/>
      <c r="C70" s="99"/>
      <c r="D70" s="99"/>
      <c r="E70" s="99"/>
      <c r="F70" s="98"/>
      <c r="G70" s="98"/>
      <c r="H70" s="99"/>
      <c r="I70" s="99"/>
      <c r="J70" s="99"/>
      <c r="K70" s="99"/>
    </row>
    <row r="71" customHeight="1" spans="1:11">
      <c r="A71" s="98"/>
      <c r="B71" s="99"/>
      <c r="C71" s="99"/>
      <c r="D71" s="99"/>
      <c r="E71" s="99"/>
      <c r="F71" s="98"/>
      <c r="G71" s="98"/>
      <c r="H71" s="99"/>
      <c r="I71" s="99"/>
      <c r="J71" s="99"/>
      <c r="K71" s="99"/>
    </row>
    <row r="72" customHeight="1" spans="1:11">
      <c r="A72" s="98"/>
      <c r="B72" s="99"/>
      <c r="C72" s="99"/>
      <c r="D72" s="99"/>
      <c r="E72" s="99"/>
      <c r="F72" s="98"/>
      <c r="G72" s="98"/>
      <c r="H72" s="99"/>
      <c r="I72" s="99"/>
      <c r="J72" s="99"/>
      <c r="K72" s="99"/>
    </row>
    <row r="73" customHeight="1" spans="1:11">
      <c r="A73" s="98"/>
      <c r="B73" s="99"/>
      <c r="C73" s="99"/>
      <c r="D73" s="99"/>
      <c r="E73" s="99"/>
      <c r="F73" s="98"/>
      <c r="G73" s="98"/>
      <c r="H73" s="99"/>
      <c r="I73" s="99"/>
      <c r="J73" s="99"/>
      <c r="K73" s="99"/>
    </row>
    <row r="74" customHeight="1" spans="1:11">
      <c r="A74" s="98"/>
      <c r="B74" s="99"/>
      <c r="C74" s="99"/>
      <c r="D74" s="99"/>
      <c r="E74" s="99"/>
      <c r="F74" s="98"/>
      <c r="G74" s="98"/>
      <c r="H74" s="99"/>
      <c r="I74" s="99"/>
      <c r="J74" s="99"/>
      <c r="K74" s="99"/>
    </row>
    <row r="75" customHeight="1" spans="1:11">
      <c r="A75" s="98"/>
      <c r="B75" s="99"/>
      <c r="C75" s="99"/>
      <c r="D75" s="99"/>
      <c r="E75" s="99"/>
      <c r="F75" s="98"/>
      <c r="G75" s="98"/>
      <c r="H75" s="99"/>
      <c r="I75" s="99"/>
      <c r="J75" s="99"/>
      <c r="K75" s="99"/>
    </row>
    <row r="76" customHeight="1" spans="1:11">
      <c r="A76" s="98"/>
      <c r="B76" s="99"/>
      <c r="C76" s="99"/>
      <c r="D76" s="99"/>
      <c r="E76" s="99"/>
      <c r="F76" s="98"/>
      <c r="G76" s="98"/>
      <c r="H76" s="99"/>
      <c r="I76" s="99"/>
      <c r="J76" s="99"/>
      <c r="K76" s="99"/>
    </row>
    <row r="77" customHeight="1" spans="1:11">
      <c r="A77" s="98"/>
      <c r="B77" s="99"/>
      <c r="C77" s="99"/>
      <c r="D77" s="99"/>
      <c r="E77" s="99"/>
      <c r="F77" s="98"/>
      <c r="G77" s="98"/>
      <c r="H77" s="99"/>
      <c r="I77" s="99"/>
      <c r="J77" s="99"/>
      <c r="K77" s="99"/>
    </row>
    <row r="78" customHeight="1" spans="1:11">
      <c r="A78" s="98"/>
      <c r="B78" s="99"/>
      <c r="C78" s="99"/>
      <c r="D78" s="99"/>
      <c r="E78" s="99"/>
      <c r="F78" s="98"/>
      <c r="G78" s="98"/>
      <c r="H78" s="99"/>
      <c r="I78" s="99"/>
      <c r="J78" s="99"/>
      <c r="K78" s="99"/>
    </row>
    <row r="79" customHeight="1" spans="1:11">
      <c r="A79" s="98"/>
      <c r="B79" s="99"/>
      <c r="C79" s="99"/>
      <c r="D79" s="99"/>
      <c r="E79" s="99"/>
      <c r="F79" s="98"/>
      <c r="G79" s="98"/>
      <c r="H79" s="99"/>
      <c r="I79" s="99"/>
      <c r="J79" s="99"/>
      <c r="K79" s="99"/>
    </row>
    <row r="80" customHeight="1" spans="1:11">
      <c r="A80" s="98"/>
      <c r="B80" s="99"/>
      <c r="C80" s="99"/>
      <c r="D80" s="99"/>
      <c r="E80" s="99"/>
      <c r="F80" s="98"/>
      <c r="G80" s="98"/>
      <c r="H80" s="99"/>
      <c r="I80" s="99"/>
      <c r="J80" s="99"/>
      <c r="K80" s="99"/>
    </row>
    <row r="81" customHeight="1" spans="1:11">
      <c r="A81" s="98"/>
      <c r="B81" s="99"/>
      <c r="C81" s="99"/>
      <c r="D81" s="99"/>
      <c r="E81" s="99"/>
      <c r="F81" s="98"/>
      <c r="G81" s="98"/>
      <c r="H81" s="99"/>
      <c r="I81" s="99"/>
      <c r="J81" s="99"/>
      <c r="K81" s="99"/>
    </row>
    <row r="82" customHeight="1" spans="1:11">
      <c r="A82" s="98"/>
      <c r="B82" s="99"/>
      <c r="C82" s="99"/>
      <c r="D82" s="99"/>
      <c r="E82" s="99"/>
      <c r="F82" s="98"/>
      <c r="G82" s="98"/>
      <c r="H82" s="99"/>
      <c r="I82" s="99"/>
      <c r="J82" s="99"/>
      <c r="K82" s="99"/>
    </row>
    <row r="83" customHeight="1" spans="1:11">
      <c r="A83" s="98"/>
      <c r="B83" s="99"/>
      <c r="C83" s="99"/>
      <c r="D83" s="99"/>
      <c r="E83" s="99"/>
      <c r="F83" s="98"/>
      <c r="G83" s="98"/>
      <c r="H83" s="99"/>
      <c r="I83" s="99"/>
      <c r="J83" s="99"/>
      <c r="K83" s="99"/>
    </row>
    <row r="84" customHeight="1" spans="1:11">
      <c r="A84" s="98"/>
      <c r="B84" s="99"/>
      <c r="C84" s="99"/>
      <c r="D84" s="99"/>
      <c r="E84" s="99"/>
      <c r="F84" s="98"/>
      <c r="G84" s="98"/>
      <c r="H84" s="99"/>
      <c r="I84" s="99"/>
      <c r="J84" s="99"/>
      <c r="K84" s="99"/>
    </row>
  </sheetData>
  <mergeCells count="43">
    <mergeCell ref="A1:K1"/>
    <mergeCell ref="B2:C2"/>
    <mergeCell ref="E2:G2"/>
    <mergeCell ref="I2:K2"/>
    <mergeCell ref="B3:C3"/>
    <mergeCell ref="E3:G3"/>
    <mergeCell ref="I3:K3"/>
    <mergeCell ref="B4:K4"/>
    <mergeCell ref="B5:K5"/>
    <mergeCell ref="A6:K6"/>
    <mergeCell ref="B7:E7"/>
    <mergeCell ref="A12:K12"/>
    <mergeCell ref="B13:E13"/>
    <mergeCell ref="H13:K13"/>
    <mergeCell ref="A24:K24"/>
    <mergeCell ref="A35:K35"/>
    <mergeCell ref="A42:K42"/>
    <mergeCell ref="B43:E43"/>
    <mergeCell ref="H43:K43"/>
    <mergeCell ref="A48:K48"/>
    <mergeCell ref="B49:E49"/>
    <mergeCell ref="H49:K49"/>
    <mergeCell ref="A54:E54"/>
    <mergeCell ref="G54:K54"/>
    <mergeCell ref="A55:E55"/>
    <mergeCell ref="G55:K55"/>
    <mergeCell ref="A9:A11"/>
    <mergeCell ref="A14:A23"/>
    <mergeCell ref="A26:A34"/>
    <mergeCell ref="A36:A41"/>
    <mergeCell ref="A45:A47"/>
    <mergeCell ref="A51:A53"/>
    <mergeCell ref="F49:F53"/>
    <mergeCell ref="G14:G23"/>
    <mergeCell ref="G26:G34"/>
    <mergeCell ref="G36:G41"/>
    <mergeCell ref="G45:G47"/>
    <mergeCell ref="G51:G53"/>
    <mergeCell ref="H36:K41"/>
    <mergeCell ref="B14:E23"/>
    <mergeCell ref="B36:E41"/>
    <mergeCell ref="H14:K23"/>
    <mergeCell ref="F7:K1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9"/>
  <sheetViews>
    <sheetView topLeftCell="A16" workbookViewId="0">
      <selection activeCell="H38" sqref="H38"/>
    </sheetView>
  </sheetViews>
  <sheetFormatPr defaultColWidth="9" defaultRowHeight="14.25" customHeight="1"/>
  <cols>
    <col min="1" max="1" width="10.8333333333333" style="165" customWidth="1"/>
    <col min="2" max="2" width="9.66666666666667" style="165" customWidth="1"/>
    <col min="3" max="3" width="12.6666666666667" style="165" customWidth="1"/>
    <col min="4" max="4" width="8.5" style="165" customWidth="1"/>
    <col min="5" max="5" width="5.5" style="165" customWidth="1"/>
    <col min="6" max="6" width="10.1666666666667" style="165" customWidth="1"/>
    <col min="7" max="7" width="14" style="166" customWidth="1"/>
    <col min="8" max="8" width="9.5" style="166" customWidth="1"/>
    <col min="9" max="9" width="9" style="181"/>
    <col min="10" max="10" width="10.8333333333333" style="166" customWidth="1"/>
    <col min="11" max="11" width="10.3333333333333" style="166" customWidth="1"/>
    <col min="12" max="12" width="9.33333333333333" style="1" customWidth="1"/>
  </cols>
  <sheetData>
    <row r="1" ht="33" customHeight="1" spans="1:11">
      <c r="A1" s="182" t="s">
        <v>82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</row>
    <row r="2" ht="16.5" customHeight="1" spans="1:11">
      <c r="A2" s="6" t="s">
        <v>83</v>
      </c>
      <c r="B2" s="7">
        <v>45824</v>
      </c>
      <c r="C2" s="7"/>
      <c r="D2" s="6" t="s">
        <v>84</v>
      </c>
      <c r="E2" s="6"/>
      <c r="F2" s="8" t="s">
        <v>15</v>
      </c>
      <c r="G2" s="112"/>
      <c r="H2" s="6" t="s">
        <v>85</v>
      </c>
      <c r="I2" s="91" t="s">
        <v>86</v>
      </c>
      <c r="J2" s="195"/>
      <c r="K2" s="179"/>
    </row>
    <row r="3" ht="40.5" customHeight="1" spans="1:11">
      <c r="A3" s="6" t="s">
        <v>87</v>
      </c>
      <c r="B3" s="9"/>
      <c r="C3" s="9"/>
      <c r="D3" s="6" t="s">
        <v>88</v>
      </c>
      <c r="E3" s="6"/>
      <c r="F3" s="9" t="s">
        <v>8</v>
      </c>
      <c r="G3" s="9"/>
      <c r="H3" s="6"/>
      <c r="I3" s="178"/>
      <c r="J3" s="196"/>
      <c r="K3" s="177"/>
    </row>
    <row r="4" ht="16.5" customHeight="1" spans="1:11">
      <c r="A4" s="6" t="s">
        <v>89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ht="16.5" customHeight="1" spans="1:11">
      <c r="A5" s="184" t="s">
        <v>90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</row>
    <row r="6" ht="16.5" customHeight="1" spans="1:11">
      <c r="A6" s="185" t="s">
        <v>91</v>
      </c>
      <c r="B6" s="186" t="s">
        <v>92</v>
      </c>
      <c r="C6" s="186"/>
      <c r="D6" s="186" t="s">
        <v>93</v>
      </c>
      <c r="E6" s="186"/>
      <c r="F6" s="186"/>
      <c r="G6" s="186" t="s">
        <v>94</v>
      </c>
      <c r="H6" s="186" t="s">
        <v>95</v>
      </c>
      <c r="I6" s="186" t="s">
        <v>96</v>
      </c>
      <c r="J6" s="186" t="s">
        <v>97</v>
      </c>
      <c r="K6" s="186"/>
    </row>
    <row r="7" ht="16.5" customHeight="1" spans="1:11">
      <c r="A7" s="185"/>
      <c r="B7" s="186"/>
      <c r="C7" s="186"/>
      <c r="D7" s="186"/>
      <c r="E7" s="186"/>
      <c r="F7" s="186"/>
      <c r="G7" s="186"/>
      <c r="H7" s="186"/>
      <c r="I7" s="186"/>
      <c r="J7" s="186" t="s">
        <v>98</v>
      </c>
      <c r="K7" s="186" t="s">
        <v>99</v>
      </c>
    </row>
    <row r="8" ht="51" customHeight="1" spans="1:11">
      <c r="A8" s="9">
        <v>1</v>
      </c>
      <c r="B8" s="187" t="s">
        <v>100</v>
      </c>
      <c r="C8" s="187"/>
      <c r="D8" s="188" t="s">
        <v>101</v>
      </c>
      <c r="E8" s="188"/>
      <c r="F8" s="188"/>
      <c r="G8" s="187" t="s">
        <v>102</v>
      </c>
      <c r="H8" s="9" t="s">
        <v>103</v>
      </c>
      <c r="I8" s="9" t="s">
        <v>104</v>
      </c>
      <c r="J8" s="9">
        <v>516.2</v>
      </c>
      <c r="K8" s="9">
        <v>510.8</v>
      </c>
    </row>
    <row r="9" ht="51" customHeight="1" spans="1:11">
      <c r="A9" s="14">
        <v>2</v>
      </c>
      <c r="B9" s="189" t="s">
        <v>105</v>
      </c>
      <c r="C9" s="189"/>
      <c r="D9" s="188" t="s">
        <v>106</v>
      </c>
      <c r="E9" s="188"/>
      <c r="F9" s="188"/>
      <c r="G9" s="187" t="s">
        <v>102</v>
      </c>
      <c r="H9" s="190" t="s">
        <v>107</v>
      </c>
      <c r="I9" s="190" t="s">
        <v>108</v>
      </c>
      <c r="J9" s="9">
        <v>103.424</v>
      </c>
      <c r="K9" s="9">
        <v>104.108</v>
      </c>
    </row>
    <row r="10" ht="51" customHeight="1" spans="1:12">
      <c r="A10" s="14"/>
      <c r="B10" s="189"/>
      <c r="C10" s="189"/>
      <c r="D10" s="188" t="s">
        <v>109</v>
      </c>
      <c r="E10" s="188"/>
      <c r="F10" s="188"/>
      <c r="G10" s="187" t="s">
        <v>102</v>
      </c>
      <c r="H10" s="190" t="s">
        <v>107</v>
      </c>
      <c r="I10" s="190" t="s">
        <v>110</v>
      </c>
      <c r="J10" s="8">
        <v>103.315</v>
      </c>
      <c r="K10" s="8">
        <v>103.984</v>
      </c>
      <c r="L10" s="1" t="s">
        <v>111</v>
      </c>
    </row>
    <row r="11" ht="51" customHeight="1" spans="1:11">
      <c r="A11" s="14"/>
      <c r="B11" s="189"/>
      <c r="C11" s="189"/>
      <c r="D11" s="188" t="s">
        <v>112</v>
      </c>
      <c r="E11" s="188"/>
      <c r="F11" s="188"/>
      <c r="G11" s="187" t="s">
        <v>102</v>
      </c>
      <c r="H11" s="190" t="s">
        <v>107</v>
      </c>
      <c r="I11" s="190" t="s">
        <v>113</v>
      </c>
      <c r="J11" s="8">
        <v>84.661</v>
      </c>
      <c r="K11" s="8">
        <v>85.525</v>
      </c>
    </row>
    <row r="12" ht="51" customHeight="1" spans="1:11">
      <c r="A12" s="14">
        <v>3</v>
      </c>
      <c r="B12" s="189" t="s">
        <v>114</v>
      </c>
      <c r="C12" s="189"/>
      <c r="D12" s="188" t="s">
        <v>106</v>
      </c>
      <c r="E12" s="188"/>
      <c r="F12" s="188"/>
      <c r="G12" s="187" t="s">
        <v>102</v>
      </c>
      <c r="H12" s="190" t="s">
        <v>107</v>
      </c>
      <c r="I12" s="190" t="s">
        <v>108</v>
      </c>
      <c r="J12" s="8">
        <v>104.142</v>
      </c>
      <c r="K12" s="180">
        <v>104.457</v>
      </c>
    </row>
    <row r="13" ht="51" customHeight="1" spans="1:11">
      <c r="A13" s="14"/>
      <c r="B13" s="189"/>
      <c r="C13" s="189"/>
      <c r="D13" s="188" t="s">
        <v>109</v>
      </c>
      <c r="E13" s="188"/>
      <c r="F13" s="188"/>
      <c r="G13" s="187" t="s">
        <v>102</v>
      </c>
      <c r="H13" s="190" t="s">
        <v>107</v>
      </c>
      <c r="I13" s="190" t="s">
        <v>110</v>
      </c>
      <c r="J13" s="8">
        <v>95.088</v>
      </c>
      <c r="K13" s="8">
        <v>95.124</v>
      </c>
    </row>
    <row r="14" ht="51" customHeight="1" spans="1:11">
      <c r="A14" s="14">
        <v>4</v>
      </c>
      <c r="B14" s="189" t="s">
        <v>115</v>
      </c>
      <c r="C14" s="189"/>
      <c r="D14" s="188" t="s">
        <v>106</v>
      </c>
      <c r="E14" s="188"/>
      <c r="F14" s="188"/>
      <c r="G14" s="187" t="s">
        <v>102</v>
      </c>
      <c r="H14" s="9" t="s">
        <v>116</v>
      </c>
      <c r="I14" s="9" t="s">
        <v>117</v>
      </c>
      <c r="J14" s="197">
        <v>0.027774</v>
      </c>
      <c r="K14" s="8">
        <v>0.025896</v>
      </c>
    </row>
    <row r="15" ht="51" customHeight="1" spans="1:11">
      <c r="A15" s="14"/>
      <c r="B15" s="189"/>
      <c r="C15" s="189"/>
      <c r="D15" s="188" t="s">
        <v>109</v>
      </c>
      <c r="E15" s="188"/>
      <c r="F15" s="188"/>
      <c r="G15" s="187" t="s">
        <v>102</v>
      </c>
      <c r="H15" s="9" t="s">
        <v>116</v>
      </c>
      <c r="I15" s="9" t="s">
        <v>117</v>
      </c>
      <c r="J15" s="8">
        <v>0.012608</v>
      </c>
      <c r="K15" s="8">
        <v>0.013349</v>
      </c>
    </row>
    <row r="16" ht="51" customHeight="1" spans="1:11">
      <c r="A16" s="14">
        <v>5</v>
      </c>
      <c r="B16" s="189" t="s">
        <v>118</v>
      </c>
      <c r="C16" s="189"/>
      <c r="D16" s="188" t="s">
        <v>106</v>
      </c>
      <c r="E16" s="188"/>
      <c r="F16" s="188"/>
      <c r="G16" s="187" t="s">
        <v>102</v>
      </c>
      <c r="H16" s="9" t="s">
        <v>116</v>
      </c>
      <c r="I16" s="9" t="s">
        <v>117</v>
      </c>
      <c r="J16" s="8">
        <v>0.002611</v>
      </c>
      <c r="K16" s="8">
        <v>0.002224</v>
      </c>
    </row>
    <row r="17" ht="51" customHeight="1" spans="1:11">
      <c r="A17" s="14"/>
      <c r="B17" s="189"/>
      <c r="C17" s="189"/>
      <c r="D17" s="188" t="s">
        <v>109</v>
      </c>
      <c r="E17" s="188"/>
      <c r="F17" s="188"/>
      <c r="G17" s="187" t="s">
        <v>102</v>
      </c>
      <c r="H17" s="9" t="s">
        <v>116</v>
      </c>
      <c r="I17" s="9" t="s">
        <v>117</v>
      </c>
      <c r="J17" s="8">
        <v>0.001717</v>
      </c>
      <c r="K17" s="8">
        <v>0.001972</v>
      </c>
    </row>
    <row r="18" ht="36" customHeight="1" spans="1:11">
      <c r="A18" s="14">
        <v>6</v>
      </c>
      <c r="B18" s="189" t="s">
        <v>119</v>
      </c>
      <c r="C18" s="189"/>
      <c r="D18" s="188" t="s">
        <v>120</v>
      </c>
      <c r="E18" s="188"/>
      <c r="F18" s="188"/>
      <c r="G18" s="190" t="s">
        <v>121</v>
      </c>
      <c r="H18" s="190" t="s">
        <v>122</v>
      </c>
      <c r="I18" s="190" t="s">
        <v>123</v>
      </c>
      <c r="J18" s="8">
        <v>3.517</v>
      </c>
      <c r="K18" s="8">
        <v>3.391</v>
      </c>
    </row>
    <row r="19" ht="36" customHeight="1" spans="1:11">
      <c r="A19" s="14"/>
      <c r="B19" s="189"/>
      <c r="C19" s="189"/>
      <c r="D19" s="188" t="s">
        <v>124</v>
      </c>
      <c r="E19" s="188"/>
      <c r="F19" s="188"/>
      <c r="G19" s="190" t="s">
        <v>121</v>
      </c>
      <c r="H19" s="190" t="s">
        <v>122</v>
      </c>
      <c r="I19" s="190" t="s">
        <v>125</v>
      </c>
      <c r="J19" s="8">
        <v>4.438</v>
      </c>
      <c r="K19" s="8">
        <v>4.121</v>
      </c>
    </row>
    <row r="20" ht="36" customHeight="1" spans="1:11">
      <c r="A20" s="14">
        <v>7</v>
      </c>
      <c r="B20" s="189" t="s">
        <v>126</v>
      </c>
      <c r="C20" s="189"/>
      <c r="D20" s="188" t="s">
        <v>120</v>
      </c>
      <c r="E20" s="188"/>
      <c r="F20" s="188"/>
      <c r="G20" s="190" t="s">
        <v>121</v>
      </c>
      <c r="H20" s="190" t="s">
        <v>122</v>
      </c>
      <c r="I20" s="190" t="s">
        <v>123</v>
      </c>
      <c r="J20" s="8">
        <v>3.112</v>
      </c>
      <c r="K20" s="8">
        <v>3.236</v>
      </c>
    </row>
    <row r="21" ht="36" customHeight="1" spans="1:11">
      <c r="A21" s="14"/>
      <c r="B21" s="189"/>
      <c r="C21" s="189"/>
      <c r="D21" s="188" t="s">
        <v>124</v>
      </c>
      <c r="E21" s="188"/>
      <c r="F21" s="188"/>
      <c r="G21" s="190" t="s">
        <v>121</v>
      </c>
      <c r="H21" s="190" t="s">
        <v>122</v>
      </c>
      <c r="I21" s="190" t="s">
        <v>125</v>
      </c>
      <c r="J21" s="8">
        <v>4.556</v>
      </c>
      <c r="K21" s="8">
        <v>4.325</v>
      </c>
    </row>
    <row r="22" ht="36" customHeight="1" spans="1:11">
      <c r="A22" s="14">
        <v>8</v>
      </c>
      <c r="B22" s="189" t="s">
        <v>127</v>
      </c>
      <c r="C22" s="189"/>
      <c r="D22" s="188" t="s">
        <v>120</v>
      </c>
      <c r="E22" s="188"/>
      <c r="F22" s="188"/>
      <c r="G22" s="190" t="s">
        <v>121</v>
      </c>
      <c r="H22" s="190" t="s">
        <v>122</v>
      </c>
      <c r="I22" s="190" t="s">
        <v>123</v>
      </c>
      <c r="J22" s="8">
        <v>3.754</v>
      </c>
      <c r="K22" s="8">
        <v>3.963</v>
      </c>
    </row>
    <row r="23" ht="36" customHeight="1" spans="1:11">
      <c r="A23" s="14"/>
      <c r="B23" s="189"/>
      <c r="C23" s="189"/>
      <c r="D23" s="188" t="s">
        <v>124</v>
      </c>
      <c r="E23" s="188"/>
      <c r="F23" s="188"/>
      <c r="G23" s="190" t="s">
        <v>121</v>
      </c>
      <c r="H23" s="190" t="s">
        <v>122</v>
      </c>
      <c r="I23" s="190" t="s">
        <v>123</v>
      </c>
      <c r="J23" s="8">
        <v>4.155</v>
      </c>
      <c r="K23" s="8">
        <v>4.329</v>
      </c>
    </row>
    <row r="24" ht="24" customHeight="1" spans="1:11">
      <c r="A24" s="9">
        <v>9</v>
      </c>
      <c r="B24" s="187" t="s">
        <v>128</v>
      </c>
      <c r="C24" s="187"/>
      <c r="D24" s="188"/>
      <c r="E24" s="188"/>
      <c r="F24" s="188"/>
      <c r="G24" s="190" t="s">
        <v>102</v>
      </c>
      <c r="H24" s="190" t="s">
        <v>129</v>
      </c>
      <c r="I24" s="190" t="s">
        <v>130</v>
      </c>
      <c r="J24" s="47">
        <v>0.08</v>
      </c>
      <c r="K24" s="48"/>
    </row>
    <row r="25" ht="24" customHeight="1" spans="1:11">
      <c r="A25" s="14">
        <v>10</v>
      </c>
      <c r="B25" s="189" t="s">
        <v>131</v>
      </c>
      <c r="C25" s="189"/>
      <c r="D25" s="187" t="s">
        <v>132</v>
      </c>
      <c r="E25" s="187"/>
      <c r="F25" s="187"/>
      <c r="G25" s="190"/>
      <c r="H25" s="191" t="s">
        <v>133</v>
      </c>
      <c r="I25" s="190"/>
      <c r="J25" s="8">
        <v>259.2</v>
      </c>
      <c r="K25" s="8">
        <v>259.2</v>
      </c>
    </row>
    <row r="26" ht="24" customHeight="1" spans="1:11">
      <c r="A26" s="14"/>
      <c r="B26" s="189"/>
      <c r="C26" s="189"/>
      <c r="D26" s="187" t="s">
        <v>134</v>
      </c>
      <c r="E26" s="187"/>
      <c r="F26" s="187"/>
      <c r="G26" s="190"/>
      <c r="H26" s="191" t="s">
        <v>133</v>
      </c>
      <c r="I26" s="190"/>
      <c r="J26" s="8">
        <v>325.4</v>
      </c>
      <c r="K26" s="8">
        <v>325.4</v>
      </c>
    </row>
    <row r="27" ht="24" customHeight="1" spans="1:11">
      <c r="A27" s="14"/>
      <c r="B27" s="189"/>
      <c r="C27" s="189"/>
      <c r="D27" s="192" t="s">
        <v>135</v>
      </c>
      <c r="E27" s="192"/>
      <c r="F27" s="192"/>
      <c r="G27" s="193"/>
      <c r="H27" s="191" t="s">
        <v>133</v>
      </c>
      <c r="I27" s="190"/>
      <c r="J27" s="8">
        <v>95.38</v>
      </c>
      <c r="K27" s="8">
        <v>95.38</v>
      </c>
    </row>
    <row r="28" ht="24" customHeight="1" spans="1:11">
      <c r="A28" s="9">
        <v>11</v>
      </c>
      <c r="B28" s="187" t="s">
        <v>136</v>
      </c>
      <c r="C28" s="187"/>
      <c r="D28" s="187" t="s">
        <v>137</v>
      </c>
      <c r="E28" s="187"/>
      <c r="F28" s="187"/>
      <c r="G28" s="194"/>
      <c r="H28" s="191" t="s">
        <v>133</v>
      </c>
      <c r="I28" s="190"/>
      <c r="J28" s="8" t="s">
        <v>10</v>
      </c>
      <c r="K28" s="8" t="s">
        <v>10</v>
      </c>
    </row>
    <row r="29" ht="24" customHeight="1" spans="1:11">
      <c r="A29" s="9"/>
      <c r="B29" s="187"/>
      <c r="C29" s="187"/>
      <c r="D29" s="187" t="s">
        <v>138</v>
      </c>
      <c r="E29" s="187"/>
      <c r="F29" s="187"/>
      <c r="G29" s="194"/>
      <c r="H29" s="191" t="s">
        <v>133</v>
      </c>
      <c r="I29" s="190"/>
      <c r="J29" s="8" t="s">
        <v>10</v>
      </c>
      <c r="K29" s="8" t="s">
        <v>10</v>
      </c>
    </row>
  </sheetData>
  <sheetProtection insertHyperlinks="0" autoFilter="0"/>
  <mergeCells count="61">
    <mergeCell ref="A1:K1"/>
    <mergeCell ref="B2:C2"/>
    <mergeCell ref="D2:E2"/>
    <mergeCell ref="F2:G2"/>
    <mergeCell ref="B3:C3"/>
    <mergeCell ref="D3:E3"/>
    <mergeCell ref="F3:G3"/>
    <mergeCell ref="B4:K4"/>
    <mergeCell ref="A5:K5"/>
    <mergeCell ref="J6:K6"/>
    <mergeCell ref="B8:C8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B24:C24"/>
    <mergeCell ref="D24:F24"/>
    <mergeCell ref="J24:K24"/>
    <mergeCell ref="D25:F25"/>
    <mergeCell ref="D26:F26"/>
    <mergeCell ref="D27:F27"/>
    <mergeCell ref="D28:F28"/>
    <mergeCell ref="D29:F29"/>
    <mergeCell ref="A6:A7"/>
    <mergeCell ref="A9:A11"/>
    <mergeCell ref="A12:A13"/>
    <mergeCell ref="A14:A15"/>
    <mergeCell ref="A16:A17"/>
    <mergeCell ref="A18:A19"/>
    <mergeCell ref="A20:A21"/>
    <mergeCell ref="A22:A23"/>
    <mergeCell ref="A25:A27"/>
    <mergeCell ref="A28:A29"/>
    <mergeCell ref="G6:G7"/>
    <mergeCell ref="H2:H3"/>
    <mergeCell ref="H6:H7"/>
    <mergeCell ref="I6:I7"/>
    <mergeCell ref="B6:C7"/>
    <mergeCell ref="B9:C11"/>
    <mergeCell ref="B18:C19"/>
    <mergeCell ref="B28:C29"/>
    <mergeCell ref="B20:C21"/>
    <mergeCell ref="B16:C17"/>
    <mergeCell ref="B25:C27"/>
    <mergeCell ref="I2:K3"/>
    <mergeCell ref="B22:C23"/>
    <mergeCell ref="D6:F7"/>
    <mergeCell ref="B14:C15"/>
    <mergeCell ref="B12:C1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60"/>
  <sheetViews>
    <sheetView topLeftCell="A10" workbookViewId="0">
      <selection activeCell="E11" sqref="E11:H11"/>
    </sheetView>
  </sheetViews>
  <sheetFormatPr defaultColWidth="9" defaultRowHeight="14.25" customHeight="1"/>
  <cols>
    <col min="1" max="1" width="9.16666666666667" style="165" customWidth="1"/>
    <col min="2" max="2" width="16.3333333333333" style="166" customWidth="1"/>
    <col min="3" max="3" width="20.8333333333333" style="165" customWidth="1"/>
    <col min="4" max="4" width="7.66666666666667" style="166" customWidth="1"/>
    <col min="5" max="5" width="14.5" style="165" customWidth="1"/>
    <col min="6" max="6" width="8" style="166" customWidth="1"/>
    <col min="7" max="7" width="14" style="166" customWidth="1"/>
    <col min="8" max="8" width="9.66666666666667" style="166" customWidth="1"/>
    <col min="9" max="9" width="14.5" style="165" customWidth="1"/>
    <col min="10" max="10" width="8" style="166" customWidth="1"/>
    <col min="11" max="11" width="14" style="166" customWidth="1"/>
    <col min="12" max="12" width="9.66666666666667" style="166" customWidth="1"/>
    <col min="13" max="38" width="9" style="23"/>
  </cols>
  <sheetData>
    <row r="1" ht="33" customHeight="1" spans="1:12">
      <c r="A1" s="69" t="s">
        <v>139</v>
      </c>
      <c r="B1" s="69"/>
      <c r="C1" s="69"/>
      <c r="D1" s="69"/>
      <c r="E1" s="69"/>
      <c r="F1" s="69"/>
      <c r="G1" s="69"/>
      <c r="H1" s="167"/>
      <c r="I1" s="167"/>
      <c r="J1" s="167"/>
      <c r="K1" s="167"/>
      <c r="L1" s="167"/>
    </row>
    <row r="2" ht="22.85" customHeight="1" spans="1:12">
      <c r="A2" s="6" t="s">
        <v>83</v>
      </c>
      <c r="B2" s="168">
        <v>45825</v>
      </c>
      <c r="C2" s="168"/>
      <c r="D2" s="168"/>
      <c r="E2" s="168"/>
      <c r="F2" s="168"/>
      <c r="G2" s="44" t="s">
        <v>84</v>
      </c>
      <c r="H2" s="8" t="s">
        <v>15</v>
      </c>
      <c r="I2" s="8"/>
      <c r="J2" s="8"/>
      <c r="K2" s="8"/>
      <c r="L2" s="8"/>
    </row>
    <row r="3" ht="22.85" customHeight="1" spans="1:12">
      <c r="A3" s="6" t="s">
        <v>87</v>
      </c>
      <c r="B3" s="47"/>
      <c r="C3" s="47"/>
      <c r="D3" s="47"/>
      <c r="E3" s="47"/>
      <c r="F3" s="47"/>
      <c r="G3" s="44" t="s">
        <v>88</v>
      </c>
      <c r="H3" s="8" t="s">
        <v>8</v>
      </c>
      <c r="I3" s="8"/>
      <c r="J3" s="8"/>
      <c r="K3" s="8"/>
      <c r="L3" s="8"/>
    </row>
    <row r="4" ht="25.75" customHeight="1" spans="1:12">
      <c r="A4" s="6" t="s">
        <v>85</v>
      </c>
      <c r="B4" s="70" t="s">
        <v>140</v>
      </c>
      <c r="C4" s="70"/>
      <c r="D4" s="70"/>
      <c r="E4" s="70"/>
      <c r="F4" s="70"/>
      <c r="G4" s="70"/>
      <c r="H4" s="169"/>
      <c r="I4" s="169"/>
      <c r="J4" s="169"/>
      <c r="K4" s="169"/>
      <c r="L4" s="169"/>
    </row>
    <row r="5" s="1" customFormat="1" ht="123" customHeight="1" spans="1:12">
      <c r="A5" s="72" t="s">
        <v>93</v>
      </c>
      <c r="B5" s="75" t="s">
        <v>141</v>
      </c>
      <c r="C5" s="75"/>
      <c r="D5" s="75"/>
      <c r="E5" s="75"/>
      <c r="F5" s="75"/>
      <c r="G5" s="75"/>
      <c r="H5" s="75"/>
      <c r="I5" s="75"/>
      <c r="J5" s="75"/>
      <c r="K5" s="75"/>
      <c r="L5" s="75"/>
    </row>
    <row r="6" s="1" customFormat="1" ht="37" customHeight="1" spans="1:12">
      <c r="A6" s="16" t="s">
        <v>41</v>
      </c>
      <c r="B6" s="170" t="s">
        <v>25</v>
      </c>
      <c r="C6" s="170"/>
      <c r="D6" s="170"/>
      <c r="E6" s="170"/>
      <c r="F6" s="170"/>
      <c r="G6" s="170"/>
      <c r="H6" s="170"/>
      <c r="I6" s="170"/>
      <c r="J6" s="170"/>
      <c r="K6" s="170"/>
      <c r="L6" s="170"/>
    </row>
    <row r="7" ht="18" customHeight="1" spans="1:12">
      <c r="A7" s="72" t="s">
        <v>90</v>
      </c>
      <c r="B7" s="72" t="s">
        <v>142</v>
      </c>
      <c r="C7" s="72"/>
      <c r="D7" s="72" t="s">
        <v>143</v>
      </c>
      <c r="E7" s="72" t="s">
        <v>144</v>
      </c>
      <c r="F7" s="72"/>
      <c r="G7" s="72"/>
      <c r="H7" s="72"/>
      <c r="I7" s="72" t="s">
        <v>145</v>
      </c>
      <c r="J7" s="72"/>
      <c r="K7" s="72"/>
      <c r="L7" s="72"/>
    </row>
    <row r="8" ht="18" customHeight="1" spans="1:12">
      <c r="A8" s="72"/>
      <c r="B8" s="72"/>
      <c r="C8" s="72"/>
      <c r="D8" s="72"/>
      <c r="E8" s="72" t="s">
        <v>146</v>
      </c>
      <c r="F8" s="72"/>
      <c r="G8" s="72" t="s">
        <v>147</v>
      </c>
      <c r="H8" s="72"/>
      <c r="I8" s="72" t="s">
        <v>146</v>
      </c>
      <c r="J8" s="72"/>
      <c r="K8" s="72" t="s">
        <v>147</v>
      </c>
      <c r="L8" s="72"/>
    </row>
    <row r="9" ht="18" customHeight="1" spans="1:12">
      <c r="A9" s="72"/>
      <c r="B9" s="72"/>
      <c r="C9" s="72"/>
      <c r="D9" s="72"/>
      <c r="E9" s="72" t="s">
        <v>148</v>
      </c>
      <c r="F9" s="72" t="s">
        <v>149</v>
      </c>
      <c r="G9" s="72" t="s">
        <v>148</v>
      </c>
      <c r="H9" s="72" t="s">
        <v>149</v>
      </c>
      <c r="I9" s="72" t="s">
        <v>148</v>
      </c>
      <c r="J9" s="72" t="s">
        <v>149</v>
      </c>
      <c r="K9" s="72" t="s">
        <v>148</v>
      </c>
      <c r="L9" s="72" t="s">
        <v>149</v>
      </c>
    </row>
    <row r="10" ht="18" customHeight="1" spans="1:12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</row>
    <row r="11" ht="18" customHeight="1" spans="1:12">
      <c r="A11" s="72"/>
      <c r="B11" s="6" t="s">
        <v>150</v>
      </c>
      <c r="C11" s="171" t="s">
        <v>151</v>
      </c>
      <c r="D11" s="9" t="s">
        <v>152</v>
      </c>
      <c r="E11" s="172">
        <v>170</v>
      </c>
      <c r="F11" s="173"/>
      <c r="G11" s="173"/>
      <c r="H11" s="174"/>
      <c r="I11" s="51"/>
      <c r="J11" s="52"/>
      <c r="K11" s="52"/>
      <c r="L11" s="176"/>
    </row>
    <row r="12" ht="18" customHeight="1" spans="1:12">
      <c r="A12" s="72"/>
      <c r="B12" s="6"/>
      <c r="C12" s="171" t="s">
        <v>153</v>
      </c>
      <c r="D12" s="9"/>
      <c r="E12" s="9" t="s">
        <v>10</v>
      </c>
      <c r="F12" s="9" t="s">
        <v>10</v>
      </c>
      <c r="G12" s="9" t="s">
        <v>10</v>
      </c>
      <c r="H12" s="9" t="s">
        <v>10</v>
      </c>
      <c r="I12" s="9" t="s">
        <v>10</v>
      </c>
      <c r="J12" s="9" t="s">
        <v>10</v>
      </c>
      <c r="K12" s="9" t="s">
        <v>10</v>
      </c>
      <c r="L12" s="9" t="s">
        <v>10</v>
      </c>
    </row>
    <row r="13" ht="18" customHeight="1" spans="1:12">
      <c r="A13" s="72"/>
      <c r="B13" s="6"/>
      <c r="C13" s="171" t="s">
        <v>154</v>
      </c>
      <c r="D13" s="9"/>
      <c r="E13" s="9" t="s">
        <v>10</v>
      </c>
      <c r="F13" s="9" t="s">
        <v>10</v>
      </c>
      <c r="G13" s="9" t="s">
        <v>10</v>
      </c>
      <c r="H13" s="9" t="s">
        <v>10</v>
      </c>
      <c r="I13" s="9" t="s">
        <v>155</v>
      </c>
      <c r="J13" s="9">
        <v>3.145</v>
      </c>
      <c r="K13" s="9" t="s">
        <v>156</v>
      </c>
      <c r="L13" s="9">
        <v>3.083</v>
      </c>
    </row>
    <row r="14" ht="18" customHeight="1" spans="1:12">
      <c r="A14" s="72"/>
      <c r="B14" s="6"/>
      <c r="C14" s="175" t="s">
        <v>157</v>
      </c>
      <c r="D14" s="9"/>
      <c r="E14" s="8" t="s">
        <v>158</v>
      </c>
      <c r="F14" s="8">
        <v>6.199</v>
      </c>
      <c r="G14" s="8" t="s">
        <v>159</v>
      </c>
      <c r="H14" s="8">
        <v>6.015</v>
      </c>
      <c r="I14" s="8" t="s">
        <v>160</v>
      </c>
      <c r="J14" s="8">
        <v>6.675</v>
      </c>
      <c r="K14" s="8" t="s">
        <v>161</v>
      </c>
      <c r="L14" s="8">
        <v>6.473</v>
      </c>
    </row>
    <row r="15" ht="18" customHeight="1" spans="1:12">
      <c r="A15" s="72"/>
      <c r="B15" s="6"/>
      <c r="C15" s="175" t="s">
        <v>162</v>
      </c>
      <c r="D15" s="9"/>
      <c r="E15" s="8" t="s">
        <v>163</v>
      </c>
      <c r="F15" s="8">
        <v>10.009</v>
      </c>
      <c r="G15" s="8" t="s">
        <v>164</v>
      </c>
      <c r="H15" s="8">
        <v>6.168</v>
      </c>
      <c r="I15" s="8" t="s">
        <v>165</v>
      </c>
      <c r="J15" s="8">
        <v>11.291</v>
      </c>
      <c r="K15" s="8" t="s">
        <v>166</v>
      </c>
      <c r="L15" s="8">
        <v>9.615</v>
      </c>
    </row>
    <row r="16" ht="18" customHeight="1" spans="1:12">
      <c r="A16" s="72"/>
      <c r="B16" s="72" t="s">
        <v>142</v>
      </c>
      <c r="C16" s="72"/>
      <c r="D16" s="72" t="s">
        <v>143</v>
      </c>
      <c r="E16" s="72" t="s">
        <v>144</v>
      </c>
      <c r="F16" s="72"/>
      <c r="G16" s="72"/>
      <c r="H16" s="72"/>
      <c r="I16" s="72" t="s">
        <v>167</v>
      </c>
      <c r="J16" s="72"/>
      <c r="K16" s="72"/>
      <c r="L16" s="72"/>
    </row>
    <row r="17" ht="18" customHeight="1" spans="1:12">
      <c r="A17" s="72"/>
      <c r="B17" s="72"/>
      <c r="C17" s="72"/>
      <c r="D17" s="72"/>
      <c r="E17" s="72" t="s">
        <v>146</v>
      </c>
      <c r="F17" s="72"/>
      <c r="G17" s="72" t="s">
        <v>147</v>
      </c>
      <c r="H17" s="72"/>
      <c r="I17" s="72" t="s">
        <v>146</v>
      </c>
      <c r="J17" s="72"/>
      <c r="K17" s="72" t="s">
        <v>147</v>
      </c>
      <c r="L17" s="72"/>
    </row>
    <row r="18" ht="18" customHeight="1" spans="1:12">
      <c r="A18" s="72"/>
      <c r="B18" s="72"/>
      <c r="C18" s="72"/>
      <c r="D18" s="72"/>
      <c r="E18" s="72" t="s">
        <v>148</v>
      </c>
      <c r="F18" s="72" t="s">
        <v>149</v>
      </c>
      <c r="G18" s="72" t="s">
        <v>148</v>
      </c>
      <c r="H18" s="72" t="s">
        <v>149</v>
      </c>
      <c r="I18" s="72" t="s">
        <v>148</v>
      </c>
      <c r="J18" s="72" t="s">
        <v>149</v>
      </c>
      <c r="K18" s="72" t="s">
        <v>148</v>
      </c>
      <c r="L18" s="72" t="s">
        <v>149</v>
      </c>
    </row>
    <row r="19" ht="18" customHeight="1" spans="1:12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</row>
    <row r="20" ht="18" customHeight="1" spans="1:12">
      <c r="A20" s="72"/>
      <c r="B20" s="6" t="s">
        <v>168</v>
      </c>
      <c r="C20" s="171" t="s">
        <v>151</v>
      </c>
      <c r="D20" s="9" t="s">
        <v>152</v>
      </c>
      <c r="E20" s="51"/>
      <c r="F20" s="52"/>
      <c r="G20" s="52"/>
      <c r="H20" s="176"/>
      <c r="I20" s="51"/>
      <c r="J20" s="52"/>
      <c r="K20" s="52"/>
      <c r="L20" s="176"/>
    </row>
    <row r="21" ht="18" customHeight="1" spans="1:12">
      <c r="A21" s="72"/>
      <c r="B21" s="6"/>
      <c r="C21" s="171" t="s">
        <v>153</v>
      </c>
      <c r="D21" s="9"/>
      <c r="E21" s="9" t="s">
        <v>10</v>
      </c>
      <c r="F21" s="9" t="s">
        <v>10</v>
      </c>
      <c r="G21" s="9" t="s">
        <v>10</v>
      </c>
      <c r="H21" s="9" t="s">
        <v>10</v>
      </c>
      <c r="I21" s="9" t="s">
        <v>10</v>
      </c>
      <c r="J21" s="9" t="s">
        <v>10</v>
      </c>
      <c r="K21" s="9" t="s">
        <v>10</v>
      </c>
      <c r="L21" s="9" t="s">
        <v>10</v>
      </c>
    </row>
    <row r="22" ht="18" customHeight="1" spans="1:12">
      <c r="A22" s="72"/>
      <c r="B22" s="6"/>
      <c r="C22" s="171" t="s">
        <v>154</v>
      </c>
      <c r="D22" s="9"/>
      <c r="E22" s="9" t="s">
        <v>10</v>
      </c>
      <c r="F22" s="9" t="s">
        <v>10</v>
      </c>
      <c r="G22" s="9" t="s">
        <v>10</v>
      </c>
      <c r="H22" s="9" t="s">
        <v>10</v>
      </c>
      <c r="I22" s="9" t="s">
        <v>169</v>
      </c>
      <c r="J22" s="9">
        <v>0.771</v>
      </c>
      <c r="K22" s="9" t="s">
        <v>170</v>
      </c>
      <c r="L22" s="9">
        <v>0.344</v>
      </c>
    </row>
    <row r="23" ht="18" customHeight="1" spans="1:12">
      <c r="A23" s="72"/>
      <c r="B23" s="6"/>
      <c r="C23" s="175" t="s">
        <v>157</v>
      </c>
      <c r="D23" s="9"/>
      <c r="E23" s="177" t="s">
        <v>171</v>
      </c>
      <c r="F23" s="178">
        <v>5.199</v>
      </c>
      <c r="G23" s="8" t="s">
        <v>172</v>
      </c>
      <c r="H23" s="8">
        <v>4.99</v>
      </c>
      <c r="I23" s="8" t="s">
        <v>173</v>
      </c>
      <c r="J23" s="8">
        <v>5.731</v>
      </c>
      <c r="K23" s="8" t="s">
        <v>174</v>
      </c>
      <c r="L23" s="180">
        <v>5.347</v>
      </c>
    </row>
    <row r="24" ht="18" customHeight="1" spans="1:12">
      <c r="A24" s="72"/>
      <c r="B24" s="6"/>
      <c r="C24" s="175" t="s">
        <v>162</v>
      </c>
      <c r="D24" s="9"/>
      <c r="E24" s="179" t="s">
        <v>175</v>
      </c>
      <c r="F24" s="91">
        <v>9.801</v>
      </c>
      <c r="G24" s="8" t="s">
        <v>176</v>
      </c>
      <c r="H24" s="180">
        <v>5.183</v>
      </c>
      <c r="I24" s="8" t="s">
        <v>177</v>
      </c>
      <c r="J24" s="8">
        <v>10.818</v>
      </c>
      <c r="K24" s="8" t="s">
        <v>178</v>
      </c>
      <c r="L24" s="180">
        <v>8.685</v>
      </c>
    </row>
    <row r="25" ht="18" customHeight="1" spans="1:12">
      <c r="A25" s="72"/>
      <c r="B25" s="72" t="s">
        <v>142</v>
      </c>
      <c r="C25" s="72"/>
      <c r="D25" s="72" t="s">
        <v>143</v>
      </c>
      <c r="E25" s="72" t="s">
        <v>144</v>
      </c>
      <c r="F25" s="72"/>
      <c r="G25" s="72"/>
      <c r="H25" s="72"/>
      <c r="I25" s="72" t="s">
        <v>167</v>
      </c>
      <c r="J25" s="72"/>
      <c r="K25" s="72"/>
      <c r="L25" s="72"/>
    </row>
    <row r="26" ht="18" customHeight="1" spans="1:12">
      <c r="A26" s="72"/>
      <c r="B26" s="72"/>
      <c r="C26" s="72"/>
      <c r="D26" s="72"/>
      <c r="E26" s="72" t="s">
        <v>146</v>
      </c>
      <c r="F26" s="72"/>
      <c r="G26" s="72" t="s">
        <v>147</v>
      </c>
      <c r="H26" s="72"/>
      <c r="I26" s="72" t="s">
        <v>146</v>
      </c>
      <c r="J26" s="72"/>
      <c r="K26" s="72" t="s">
        <v>147</v>
      </c>
      <c r="L26" s="72"/>
    </row>
    <row r="27" ht="18" customHeight="1" spans="1:12">
      <c r="A27" s="72"/>
      <c r="B27" s="72"/>
      <c r="C27" s="72"/>
      <c r="D27" s="72"/>
      <c r="E27" s="72" t="s">
        <v>148</v>
      </c>
      <c r="F27" s="72" t="s">
        <v>149</v>
      </c>
      <c r="G27" s="72" t="s">
        <v>148</v>
      </c>
      <c r="H27" s="72" t="s">
        <v>149</v>
      </c>
      <c r="I27" s="72" t="s">
        <v>148</v>
      </c>
      <c r="J27" s="72" t="s">
        <v>149</v>
      </c>
      <c r="K27" s="72" t="s">
        <v>148</v>
      </c>
      <c r="L27" s="72" t="s">
        <v>149</v>
      </c>
    </row>
    <row r="28" ht="18" customHeight="1" spans="1:12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</row>
    <row r="29" ht="18" customHeight="1" spans="1:12">
      <c r="A29" s="72"/>
      <c r="B29" s="6" t="s">
        <v>179</v>
      </c>
      <c r="C29" s="171" t="s">
        <v>151</v>
      </c>
      <c r="D29" s="9" t="s">
        <v>152</v>
      </c>
      <c r="E29" s="51"/>
      <c r="F29" s="52"/>
      <c r="G29" s="52"/>
      <c r="H29" s="176"/>
      <c r="I29" s="51"/>
      <c r="J29" s="52"/>
      <c r="K29" s="52"/>
      <c r="L29" s="176"/>
    </row>
    <row r="30" ht="18" customHeight="1" spans="1:12">
      <c r="A30" s="72"/>
      <c r="B30" s="6"/>
      <c r="C30" s="171" t="s">
        <v>153</v>
      </c>
      <c r="D30" s="9"/>
      <c r="E30" s="9" t="s">
        <v>10</v>
      </c>
      <c r="F30" s="9" t="s">
        <v>10</v>
      </c>
      <c r="G30" s="9" t="s">
        <v>10</v>
      </c>
      <c r="H30" s="9" t="s">
        <v>10</v>
      </c>
      <c r="I30" s="9" t="s">
        <v>10</v>
      </c>
      <c r="J30" s="9" t="s">
        <v>10</v>
      </c>
      <c r="K30" s="9" t="s">
        <v>10</v>
      </c>
      <c r="L30" s="9" t="s">
        <v>10</v>
      </c>
    </row>
    <row r="31" ht="18" customHeight="1" spans="1:12">
      <c r="A31" s="72"/>
      <c r="B31" s="6"/>
      <c r="C31" s="171" t="s">
        <v>154</v>
      </c>
      <c r="D31" s="9"/>
      <c r="E31" s="9" t="s">
        <v>10</v>
      </c>
      <c r="F31" s="9" t="s">
        <v>10</v>
      </c>
      <c r="G31" s="9" t="s">
        <v>10</v>
      </c>
      <c r="H31" s="9" t="s">
        <v>10</v>
      </c>
      <c r="I31" s="9" t="s">
        <v>180</v>
      </c>
      <c r="J31" s="9">
        <v>3.496</v>
      </c>
      <c r="K31" s="9" t="s">
        <v>181</v>
      </c>
      <c r="L31" s="9">
        <v>3.359</v>
      </c>
    </row>
    <row r="32" ht="18" customHeight="1" spans="1:12">
      <c r="A32" s="72"/>
      <c r="B32" s="6"/>
      <c r="C32" s="175" t="s">
        <v>157</v>
      </c>
      <c r="D32" s="9"/>
      <c r="E32" s="8" t="s">
        <v>182</v>
      </c>
      <c r="F32" s="8">
        <v>6.457</v>
      </c>
      <c r="G32" s="8" t="s">
        <v>183</v>
      </c>
      <c r="H32" s="8">
        <v>6.286</v>
      </c>
      <c r="I32" s="9" t="s">
        <v>184</v>
      </c>
      <c r="J32" s="9">
        <v>7.002</v>
      </c>
      <c r="K32" s="9" t="s">
        <v>185</v>
      </c>
      <c r="L32" s="9">
        <v>6.543</v>
      </c>
    </row>
    <row r="33" ht="18" customHeight="1" spans="1:12">
      <c r="A33" s="72"/>
      <c r="B33" s="6"/>
      <c r="C33" s="175" t="s">
        <v>162</v>
      </c>
      <c r="D33" s="9"/>
      <c r="E33" s="8" t="s">
        <v>186</v>
      </c>
      <c r="F33" s="8">
        <v>10.05</v>
      </c>
      <c r="G33" s="8" t="s">
        <v>187</v>
      </c>
      <c r="H33" s="8"/>
      <c r="I33" s="8" t="s">
        <v>188</v>
      </c>
      <c r="J33" s="8">
        <v>11.743</v>
      </c>
      <c r="K33" s="8" t="s">
        <v>189</v>
      </c>
      <c r="L33" s="8">
        <v>9903</v>
      </c>
    </row>
    <row r="34" ht="18" customHeight="1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8" customHeight="1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8" customHeight="1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8" customHeight="1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8" customHeight="1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8" customHeight="1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8" customHeight="1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8" customHeight="1" spans="2:1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8" customHeight="1" spans="2:1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8" customHeight="1" spans="2:1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8" customHeight="1" spans="2:1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8" customHeight="1" spans="2:1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8" customHeight="1" spans="2:1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8" customHeight="1" spans="2:1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8" customHeight="1" spans="2:1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8" customHeight="1" spans="2:1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8" customHeight="1" spans="2:1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8" customHeight="1" spans="2:1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8" customHeight="1" spans="2:1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8" customHeight="1" spans="2:1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8" customHeight="1" spans="2:1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8" customHeight="1" spans="2:1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8" customHeight="1" spans="2:1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8" customHeight="1" spans="2:1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8" customHeight="1" spans="2:1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8" customHeight="1" spans="2:1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8" customHeight="1" spans="2:1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</sheetData>
  <sheetProtection insertHyperlinks="0" autoFilter="0"/>
  <mergeCells count="69">
    <mergeCell ref="A1:L1"/>
    <mergeCell ref="B2:F2"/>
    <mergeCell ref="H2:L2"/>
    <mergeCell ref="B3:F3"/>
    <mergeCell ref="H3:L3"/>
    <mergeCell ref="B4:L4"/>
    <mergeCell ref="B5:L5"/>
    <mergeCell ref="B6:L6"/>
    <mergeCell ref="E7:H7"/>
    <mergeCell ref="I7:L7"/>
    <mergeCell ref="E8:F8"/>
    <mergeCell ref="G8:H8"/>
    <mergeCell ref="I8:J8"/>
    <mergeCell ref="K8:L8"/>
    <mergeCell ref="E11:H11"/>
    <mergeCell ref="I11:L11"/>
    <mergeCell ref="E16:H16"/>
    <mergeCell ref="I16:L16"/>
    <mergeCell ref="E17:F17"/>
    <mergeCell ref="G17:H17"/>
    <mergeCell ref="I17:J17"/>
    <mergeCell ref="K17:L17"/>
    <mergeCell ref="E20:H20"/>
    <mergeCell ref="I20:L20"/>
    <mergeCell ref="E25:H25"/>
    <mergeCell ref="I25:L25"/>
    <mergeCell ref="E26:F26"/>
    <mergeCell ref="G26:H26"/>
    <mergeCell ref="I26:J26"/>
    <mergeCell ref="K26:L26"/>
    <mergeCell ref="E29:H29"/>
    <mergeCell ref="I29:L29"/>
    <mergeCell ref="A7:A33"/>
    <mergeCell ref="B11:B15"/>
    <mergeCell ref="B20:B24"/>
    <mergeCell ref="B29:B33"/>
    <mergeCell ref="D7:D10"/>
    <mergeCell ref="D11:D15"/>
    <mergeCell ref="D16:D19"/>
    <mergeCell ref="D20:D24"/>
    <mergeCell ref="D25:D28"/>
    <mergeCell ref="D29:D33"/>
    <mergeCell ref="E9:E10"/>
    <mergeCell ref="E18:E19"/>
    <mergeCell ref="E27:E28"/>
    <mergeCell ref="F9:F10"/>
    <mergeCell ref="F18:F19"/>
    <mergeCell ref="F27:F28"/>
    <mergeCell ref="G9:G10"/>
    <mergeCell ref="G18:G19"/>
    <mergeCell ref="G27:G28"/>
    <mergeCell ref="H9:H10"/>
    <mergeCell ref="H18:H19"/>
    <mergeCell ref="H27:H28"/>
    <mergeCell ref="I9:I10"/>
    <mergeCell ref="I18:I19"/>
    <mergeCell ref="I27:I28"/>
    <mergeCell ref="J9:J10"/>
    <mergeCell ref="J18:J19"/>
    <mergeCell ref="J27:J28"/>
    <mergeCell ref="K9:K10"/>
    <mergeCell ref="K18:K19"/>
    <mergeCell ref="K27:K28"/>
    <mergeCell ref="L9:L10"/>
    <mergeCell ref="L18:L19"/>
    <mergeCell ref="L27:L28"/>
    <mergeCell ref="B16:C19"/>
    <mergeCell ref="B25:C28"/>
    <mergeCell ref="B7:C10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5"/>
  <sheetViews>
    <sheetView workbookViewId="0">
      <selection activeCell="J11" sqref="J11"/>
    </sheetView>
  </sheetViews>
  <sheetFormatPr defaultColWidth="9" defaultRowHeight="13.5" customHeight="1"/>
  <cols>
    <col min="1" max="1" width="9.66666666666667" style="141" customWidth="1"/>
    <col min="2" max="3" width="9.75" style="141" customWidth="1"/>
    <col min="4" max="4" width="36.1666666666667" style="141" customWidth="1"/>
    <col min="5" max="5" width="14.375" style="142" customWidth="1"/>
    <col min="6" max="9" width="14.375" style="141" customWidth="1"/>
    <col min="10" max="11" width="11.5" style="141" customWidth="1"/>
    <col min="12" max="38" width="9" style="141"/>
    <col min="39" max="16384" width="9" style="120"/>
  </cols>
  <sheetData>
    <row r="1" ht="35" customHeight="1" spans="1:11">
      <c r="A1" s="143" t="s">
        <v>190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ht="24" customHeight="1" spans="1:11">
      <c r="A2" s="144" t="s">
        <v>32</v>
      </c>
      <c r="B2" s="144"/>
      <c r="C2" s="145"/>
      <c r="D2" s="145">
        <v>45825</v>
      </c>
      <c r="E2" s="144" t="s">
        <v>33</v>
      </c>
      <c r="F2" s="146" t="s">
        <v>191</v>
      </c>
      <c r="G2" s="146"/>
      <c r="H2" s="146"/>
      <c r="I2" s="146"/>
      <c r="J2" s="146"/>
      <c r="K2" s="146"/>
    </row>
    <row r="3" ht="28" customHeight="1" spans="1:11">
      <c r="A3" s="144" t="s">
        <v>192</v>
      </c>
      <c r="B3" s="144"/>
      <c r="C3" s="147"/>
      <c r="D3" s="147" t="s">
        <v>193</v>
      </c>
      <c r="E3" s="147"/>
      <c r="F3" s="147"/>
      <c r="G3" s="147"/>
      <c r="H3" s="147"/>
      <c r="I3" s="147"/>
      <c r="J3" s="147"/>
      <c r="K3" s="147"/>
    </row>
    <row r="4" ht="23.05" customHeight="1" spans="1:11">
      <c r="A4" s="144" t="s">
        <v>194</v>
      </c>
      <c r="B4" s="144"/>
      <c r="C4" s="148"/>
      <c r="D4" s="148" t="s">
        <v>195</v>
      </c>
      <c r="E4" s="148"/>
      <c r="F4" s="148"/>
      <c r="G4" s="148"/>
      <c r="H4" s="148"/>
      <c r="I4" s="148"/>
      <c r="J4" s="148"/>
      <c r="K4" s="148"/>
    </row>
    <row r="5" ht="17.25" customHeight="1" spans="1:11">
      <c r="A5" s="149" t="s">
        <v>196</v>
      </c>
      <c r="B5" s="149"/>
      <c r="C5" s="148"/>
      <c r="D5" s="148" t="s">
        <v>197</v>
      </c>
      <c r="E5" s="146"/>
      <c r="F5" s="146"/>
      <c r="G5" s="146"/>
      <c r="H5" s="146"/>
      <c r="I5" s="146"/>
      <c r="J5" s="146"/>
      <c r="K5" s="146"/>
    </row>
    <row r="6" ht="17.25" customHeight="1" spans="1:11">
      <c r="A6" s="149"/>
      <c r="B6" s="149"/>
      <c r="C6" s="150"/>
      <c r="D6" s="150" t="s">
        <v>198</v>
      </c>
      <c r="E6" s="146"/>
      <c r="F6" s="146"/>
      <c r="G6" s="146"/>
      <c r="H6" s="146"/>
      <c r="I6" s="146"/>
      <c r="J6" s="146"/>
      <c r="K6" s="146"/>
    </row>
    <row r="7" ht="17.25" customHeight="1" spans="1:11">
      <c r="A7" s="149"/>
      <c r="B7" s="149"/>
      <c r="C7" s="148"/>
      <c r="D7" s="148" t="s">
        <v>199</v>
      </c>
      <c r="E7" s="151"/>
      <c r="F7" s="146"/>
      <c r="G7" s="146"/>
      <c r="H7" s="146"/>
      <c r="I7" s="146"/>
      <c r="J7" s="146"/>
      <c r="K7" s="146"/>
    </row>
    <row r="8" ht="145" customHeight="1" spans="1:11">
      <c r="A8" s="144" t="s">
        <v>200</v>
      </c>
      <c r="B8" s="144"/>
      <c r="C8" s="152"/>
      <c r="D8" s="152" t="s">
        <v>201</v>
      </c>
      <c r="E8" s="152"/>
      <c r="F8" s="152"/>
      <c r="G8" s="152"/>
      <c r="H8" s="152"/>
      <c r="I8" s="152"/>
      <c r="J8" s="152"/>
      <c r="K8" s="152"/>
    </row>
    <row r="9" ht="21" customHeight="1" spans="1:11">
      <c r="A9" s="153" t="s">
        <v>202</v>
      </c>
      <c r="B9" s="153"/>
      <c r="C9" s="154"/>
      <c r="D9" s="154"/>
      <c r="E9" s="154"/>
      <c r="F9" s="154"/>
      <c r="G9" s="154"/>
      <c r="H9" s="154"/>
      <c r="I9" s="154"/>
      <c r="J9" s="154"/>
      <c r="K9" s="154"/>
    </row>
    <row r="10" ht="53.25" customHeight="1" spans="1:11">
      <c r="A10" s="155" t="s">
        <v>203</v>
      </c>
      <c r="B10" s="156"/>
      <c r="C10" s="156"/>
      <c r="D10" s="157"/>
      <c r="E10" s="157"/>
      <c r="F10" s="157"/>
      <c r="G10" s="157"/>
      <c r="H10" s="157"/>
      <c r="I10" s="157"/>
      <c r="J10" s="163" t="s">
        <v>204</v>
      </c>
      <c r="K10" s="163"/>
    </row>
    <row r="11" ht="54" customHeight="1" spans="1:11">
      <c r="A11" s="127" t="s">
        <v>205</v>
      </c>
      <c r="B11" s="127" t="s">
        <v>206</v>
      </c>
      <c r="C11" s="128" t="s">
        <v>33</v>
      </c>
      <c r="D11" s="128" t="s">
        <v>207</v>
      </c>
      <c r="E11" s="134" t="s">
        <v>208</v>
      </c>
      <c r="F11" s="134" t="s">
        <v>209</v>
      </c>
      <c r="G11" s="134" t="s">
        <v>210</v>
      </c>
      <c r="H11" s="134" t="s">
        <v>211</v>
      </c>
      <c r="I11" s="134" t="s">
        <v>212</v>
      </c>
      <c r="J11" s="134" t="s">
        <v>213</v>
      </c>
      <c r="K11" s="134" t="s">
        <v>214</v>
      </c>
    </row>
    <row r="12" ht="20.25" customHeight="1" spans="1:11">
      <c r="A12" s="127"/>
      <c r="B12" s="127"/>
      <c r="C12" s="128" t="s">
        <v>215</v>
      </c>
      <c r="D12" s="128" t="s">
        <v>216</v>
      </c>
      <c r="E12" s="135">
        <v>90</v>
      </c>
      <c r="F12" s="135" t="s">
        <v>217</v>
      </c>
      <c r="G12" s="158">
        <v>66</v>
      </c>
      <c r="H12" s="135">
        <v>84</v>
      </c>
      <c r="I12" s="135">
        <v>69</v>
      </c>
      <c r="J12" s="135"/>
      <c r="K12" s="135"/>
    </row>
    <row r="13" ht="20.25" customHeight="1" spans="1:11">
      <c r="A13" s="127"/>
      <c r="B13" s="127"/>
      <c r="C13" s="128"/>
      <c r="D13" s="128" t="s">
        <v>218</v>
      </c>
      <c r="E13" s="135">
        <v>75</v>
      </c>
      <c r="F13" s="135">
        <v>75</v>
      </c>
      <c r="G13" s="135">
        <v>57</v>
      </c>
      <c r="H13" s="135">
        <v>60</v>
      </c>
      <c r="I13" s="158">
        <v>54</v>
      </c>
      <c r="J13" s="135"/>
      <c r="K13" s="135"/>
    </row>
    <row r="14" ht="20.25" customHeight="1" spans="1:11">
      <c r="A14" s="127"/>
      <c r="B14" s="127"/>
      <c r="C14" s="128"/>
      <c r="D14" s="128" t="s">
        <v>219</v>
      </c>
      <c r="E14" s="135" t="s">
        <v>217</v>
      </c>
      <c r="F14" s="135" t="s">
        <v>217</v>
      </c>
      <c r="G14" s="135">
        <v>93</v>
      </c>
      <c r="H14" s="135" t="s">
        <v>217</v>
      </c>
      <c r="I14" s="158">
        <v>69</v>
      </c>
      <c r="J14" s="135"/>
      <c r="K14" s="135"/>
    </row>
    <row r="15" ht="20.25" customHeight="1" spans="1:11">
      <c r="A15" s="127"/>
      <c r="B15" s="127"/>
      <c r="C15" s="128"/>
      <c r="D15" s="128" t="s">
        <v>220</v>
      </c>
      <c r="E15" s="135">
        <v>75</v>
      </c>
      <c r="F15" s="135">
        <v>78</v>
      </c>
      <c r="G15" s="158">
        <v>54</v>
      </c>
      <c r="H15" s="135">
        <v>78</v>
      </c>
      <c r="I15" s="135">
        <v>60</v>
      </c>
      <c r="J15" s="135"/>
      <c r="K15" s="135"/>
    </row>
    <row r="16" ht="20.25" customHeight="1" spans="1:11">
      <c r="A16" s="127"/>
      <c r="B16" s="127"/>
      <c r="C16" s="128" t="s">
        <v>15</v>
      </c>
      <c r="D16" s="128" t="s">
        <v>216</v>
      </c>
      <c r="E16" s="138" t="s">
        <v>217</v>
      </c>
      <c r="F16" s="138" t="s">
        <v>221</v>
      </c>
      <c r="G16" s="138" t="s">
        <v>217</v>
      </c>
      <c r="H16" s="159">
        <v>69</v>
      </c>
      <c r="I16" s="138" t="s">
        <v>221</v>
      </c>
      <c r="J16" s="138">
        <v>63</v>
      </c>
      <c r="K16" s="138" t="s">
        <v>217</v>
      </c>
    </row>
    <row r="17" ht="20.25" customHeight="1" spans="1:11">
      <c r="A17" s="127"/>
      <c r="B17" s="127"/>
      <c r="C17" s="128"/>
      <c r="D17" s="128" t="s">
        <v>218</v>
      </c>
      <c r="E17" s="138">
        <v>72</v>
      </c>
      <c r="F17" s="138" t="s">
        <v>222</v>
      </c>
      <c r="G17" s="138">
        <v>99</v>
      </c>
      <c r="H17" s="138">
        <v>48</v>
      </c>
      <c r="I17" s="159">
        <v>42</v>
      </c>
      <c r="J17" s="138">
        <v>48</v>
      </c>
      <c r="K17" s="138">
        <v>75</v>
      </c>
    </row>
    <row r="18" ht="20.25" customHeight="1" spans="1:11">
      <c r="A18" s="127"/>
      <c r="B18" s="127"/>
      <c r="C18" s="128"/>
      <c r="D18" s="128" t="s">
        <v>219</v>
      </c>
      <c r="E18" s="138">
        <v>96</v>
      </c>
      <c r="F18" s="138" t="s">
        <v>221</v>
      </c>
      <c r="G18" s="138" t="s">
        <v>217</v>
      </c>
      <c r="H18" s="138" t="s">
        <v>223</v>
      </c>
      <c r="I18" s="159">
        <v>75</v>
      </c>
      <c r="J18" s="138">
        <v>72</v>
      </c>
      <c r="K18" s="138" t="s">
        <v>217</v>
      </c>
    </row>
    <row r="19" ht="20.25" customHeight="1" spans="1:11">
      <c r="A19" s="127"/>
      <c r="B19" s="127"/>
      <c r="C19" s="128"/>
      <c r="D19" s="128" t="s">
        <v>220</v>
      </c>
      <c r="E19" s="138">
        <v>78</v>
      </c>
      <c r="F19" s="138">
        <v>75</v>
      </c>
      <c r="G19" s="138" t="s">
        <v>217</v>
      </c>
      <c r="H19" s="159">
        <v>63</v>
      </c>
      <c r="I19" s="138">
        <v>81</v>
      </c>
      <c r="J19" s="138">
        <v>66</v>
      </c>
      <c r="K19" s="138" t="s">
        <v>217</v>
      </c>
    </row>
    <row r="20" ht="20.25" customHeight="1" spans="1:11">
      <c r="A20" s="127"/>
      <c r="B20" s="127"/>
      <c r="C20" s="128" t="s">
        <v>224</v>
      </c>
      <c r="D20" s="128" t="s">
        <v>216</v>
      </c>
      <c r="E20" s="140" t="s">
        <v>217</v>
      </c>
      <c r="F20" s="140">
        <v>89</v>
      </c>
      <c r="G20" s="140" t="s">
        <v>217</v>
      </c>
      <c r="H20" s="140">
        <v>72</v>
      </c>
      <c r="I20" s="160">
        <v>69</v>
      </c>
      <c r="J20" s="140">
        <v>72</v>
      </c>
      <c r="K20" s="140" t="s">
        <v>217</v>
      </c>
    </row>
    <row r="21" ht="20.25" customHeight="1" spans="1:11">
      <c r="A21" s="127"/>
      <c r="B21" s="127"/>
      <c r="C21" s="128"/>
      <c r="D21" s="128" t="s">
        <v>218</v>
      </c>
      <c r="E21" s="140">
        <v>69</v>
      </c>
      <c r="F21" s="140">
        <v>67</v>
      </c>
      <c r="G21" s="140">
        <v>72</v>
      </c>
      <c r="H21" s="160">
        <v>33</v>
      </c>
      <c r="I21" s="140">
        <v>45</v>
      </c>
      <c r="J21" s="140">
        <v>48</v>
      </c>
      <c r="K21" s="140">
        <v>79</v>
      </c>
    </row>
    <row r="22" ht="20.25" customHeight="1" spans="1:11">
      <c r="A22" s="127"/>
      <c r="B22" s="127"/>
      <c r="C22" s="128"/>
      <c r="D22" s="128" t="s">
        <v>219</v>
      </c>
      <c r="E22" s="140" t="s">
        <v>217</v>
      </c>
      <c r="F22" s="140">
        <v>112</v>
      </c>
      <c r="G22" s="140" t="s">
        <v>217</v>
      </c>
      <c r="H22" s="160">
        <v>75</v>
      </c>
      <c r="I22" s="140">
        <v>84</v>
      </c>
      <c r="J22" s="140">
        <v>74</v>
      </c>
      <c r="K22" s="140" t="s">
        <v>217</v>
      </c>
    </row>
    <row r="23" ht="20.25" customHeight="1" spans="1:11">
      <c r="A23" s="127"/>
      <c r="B23" s="127"/>
      <c r="C23" s="128"/>
      <c r="D23" s="128" t="s">
        <v>220</v>
      </c>
      <c r="E23" s="140">
        <v>75</v>
      </c>
      <c r="F23" s="160">
        <v>64</v>
      </c>
      <c r="G23" s="140" t="s">
        <v>217</v>
      </c>
      <c r="H23" s="140" t="s">
        <v>217</v>
      </c>
      <c r="I23" s="140">
        <v>75</v>
      </c>
      <c r="J23" s="140">
        <v>63</v>
      </c>
      <c r="K23" s="140" t="s">
        <v>217</v>
      </c>
    </row>
    <row r="24" ht="20.25" customHeight="1" spans="1:11">
      <c r="A24" s="127"/>
      <c r="B24" s="127"/>
      <c r="C24" s="128" t="s">
        <v>225</v>
      </c>
      <c r="D24" s="128" t="s">
        <v>216</v>
      </c>
      <c r="E24" s="161" t="s">
        <v>217</v>
      </c>
      <c r="F24" s="161" t="s">
        <v>217</v>
      </c>
      <c r="G24" s="161" t="s">
        <v>217</v>
      </c>
      <c r="H24" s="162">
        <v>75</v>
      </c>
      <c r="I24" s="162">
        <v>75</v>
      </c>
      <c r="J24" s="161">
        <v>108</v>
      </c>
      <c r="K24" s="161" t="s">
        <v>217</v>
      </c>
    </row>
    <row r="25" ht="20.25" customHeight="1" spans="1:11">
      <c r="A25" s="127"/>
      <c r="B25" s="127"/>
      <c r="C25" s="128"/>
      <c r="D25" s="128" t="s">
        <v>218</v>
      </c>
      <c r="E25" s="161">
        <v>72</v>
      </c>
      <c r="F25" s="161">
        <v>69</v>
      </c>
      <c r="G25" s="161" t="s">
        <v>217</v>
      </c>
      <c r="H25" s="162">
        <v>36</v>
      </c>
      <c r="I25" s="162">
        <v>36</v>
      </c>
      <c r="J25" s="161">
        <v>36</v>
      </c>
      <c r="K25" s="161">
        <v>48</v>
      </c>
    </row>
    <row r="26" ht="20.25" customHeight="1" spans="1:11">
      <c r="A26" s="127"/>
      <c r="B26" s="127"/>
      <c r="C26" s="128"/>
      <c r="D26" s="128" t="s">
        <v>219</v>
      </c>
      <c r="E26" s="162">
        <v>54</v>
      </c>
      <c r="F26" s="161">
        <v>66</v>
      </c>
      <c r="G26" s="161">
        <v>69</v>
      </c>
      <c r="H26" s="162">
        <v>54</v>
      </c>
      <c r="I26" s="162">
        <v>54</v>
      </c>
      <c r="J26" s="161">
        <v>90</v>
      </c>
      <c r="K26" s="161">
        <v>72</v>
      </c>
    </row>
    <row r="27" ht="20.25" customHeight="1" spans="1:11">
      <c r="A27" s="127"/>
      <c r="B27" s="127"/>
      <c r="C27" s="128"/>
      <c r="D27" s="128" t="s">
        <v>220</v>
      </c>
      <c r="E27" s="161">
        <v>78</v>
      </c>
      <c r="F27" s="161">
        <v>69</v>
      </c>
      <c r="G27" s="161" t="s">
        <v>217</v>
      </c>
      <c r="H27" s="161">
        <v>54</v>
      </c>
      <c r="I27" s="162">
        <v>48</v>
      </c>
      <c r="J27" s="161">
        <v>45</v>
      </c>
      <c r="K27" s="161">
        <v>57</v>
      </c>
    </row>
    <row r="28" ht="45.75" customHeight="1" spans="1:11">
      <c r="A28" s="155" t="s">
        <v>226</v>
      </c>
      <c r="B28" s="156"/>
      <c r="C28" s="156"/>
      <c r="D28" s="156"/>
      <c r="E28" s="156"/>
      <c r="F28" s="156"/>
      <c r="G28" s="156"/>
      <c r="H28" s="156"/>
      <c r="I28" s="156"/>
      <c r="J28" s="164" t="s">
        <v>204</v>
      </c>
      <c r="K28" s="164"/>
    </row>
    <row r="29" ht="33" spans="1:11">
      <c r="A29" s="127" t="s">
        <v>205</v>
      </c>
      <c r="B29" s="127" t="s">
        <v>227</v>
      </c>
      <c r="C29" s="128" t="s">
        <v>33</v>
      </c>
      <c r="D29" s="128" t="s">
        <v>207</v>
      </c>
      <c r="E29" s="134" t="s">
        <v>208</v>
      </c>
      <c r="F29" s="134" t="s">
        <v>209</v>
      </c>
      <c r="G29" s="134" t="s">
        <v>210</v>
      </c>
      <c r="H29" s="134" t="s">
        <v>211</v>
      </c>
      <c r="I29" s="134" t="s">
        <v>212</v>
      </c>
      <c r="J29" s="134" t="s">
        <v>213</v>
      </c>
      <c r="K29" s="134" t="s">
        <v>214</v>
      </c>
    </row>
    <row r="30" ht="20" customHeight="1" spans="1:11">
      <c r="A30" s="127"/>
      <c r="B30" s="127"/>
      <c r="C30" s="128" t="s">
        <v>215</v>
      </c>
      <c r="D30" s="128" t="s">
        <v>216</v>
      </c>
      <c r="E30" s="135" t="s">
        <v>217</v>
      </c>
      <c r="F30" s="135" t="s">
        <v>217</v>
      </c>
      <c r="G30" s="135" t="s">
        <v>217</v>
      </c>
      <c r="H30" s="135">
        <v>105</v>
      </c>
      <c r="I30" s="158">
        <v>81</v>
      </c>
      <c r="J30" s="158"/>
      <c r="K30" s="135"/>
    </row>
    <row r="31" ht="20" customHeight="1" spans="1:11">
      <c r="A31" s="127"/>
      <c r="B31" s="127"/>
      <c r="C31" s="128"/>
      <c r="D31" s="128" t="s">
        <v>218</v>
      </c>
      <c r="E31" s="135" t="s">
        <v>217</v>
      </c>
      <c r="F31" s="135" t="s">
        <v>217</v>
      </c>
      <c r="G31" s="135">
        <v>96</v>
      </c>
      <c r="H31" s="135">
        <v>93</v>
      </c>
      <c r="I31" s="158">
        <v>75</v>
      </c>
      <c r="J31" s="158"/>
      <c r="K31" s="158"/>
    </row>
    <row r="32" ht="20" customHeight="1" spans="1:11">
      <c r="A32" s="127"/>
      <c r="B32" s="127"/>
      <c r="C32" s="128"/>
      <c r="D32" s="128" t="s">
        <v>219</v>
      </c>
      <c r="E32" s="135" t="s">
        <v>217</v>
      </c>
      <c r="F32" s="135" t="s">
        <v>217</v>
      </c>
      <c r="G32" s="135" t="s">
        <v>217</v>
      </c>
      <c r="H32" s="135" t="s">
        <v>217</v>
      </c>
      <c r="I32" s="158">
        <v>99</v>
      </c>
      <c r="J32" s="135"/>
      <c r="K32" s="135"/>
    </row>
    <row r="33" ht="20" customHeight="1" spans="1:11">
      <c r="A33" s="127"/>
      <c r="B33" s="127"/>
      <c r="C33" s="128"/>
      <c r="D33" s="128" t="s">
        <v>220</v>
      </c>
      <c r="E33" s="135" t="s">
        <v>217</v>
      </c>
      <c r="F33" s="135" t="s">
        <v>217</v>
      </c>
      <c r="G33" s="135" t="s">
        <v>217</v>
      </c>
      <c r="H33" s="135" t="s">
        <v>217</v>
      </c>
      <c r="I33" s="158">
        <v>84</v>
      </c>
      <c r="J33" s="135"/>
      <c r="K33" s="135"/>
    </row>
    <row r="34" ht="20" customHeight="1" spans="1:11">
      <c r="A34" s="127"/>
      <c r="B34" s="127"/>
      <c r="C34" s="128" t="s">
        <v>15</v>
      </c>
      <c r="D34" s="128" t="s">
        <v>216</v>
      </c>
      <c r="E34" s="138" t="s">
        <v>217</v>
      </c>
      <c r="F34" s="138" t="s">
        <v>217</v>
      </c>
      <c r="G34" s="138" t="s">
        <v>217</v>
      </c>
      <c r="H34" s="159">
        <v>66</v>
      </c>
      <c r="I34" s="138" t="s">
        <v>217</v>
      </c>
      <c r="J34" s="138">
        <v>63</v>
      </c>
      <c r="K34" s="138" t="s">
        <v>217</v>
      </c>
    </row>
    <row r="35" ht="20" customHeight="1" spans="1:11">
      <c r="A35" s="127"/>
      <c r="B35" s="127"/>
      <c r="C35" s="128"/>
      <c r="D35" s="128" t="s">
        <v>218</v>
      </c>
      <c r="E35" s="138">
        <v>84</v>
      </c>
      <c r="F35" s="138" t="s">
        <v>217</v>
      </c>
      <c r="G35" s="138" t="s">
        <v>217</v>
      </c>
      <c r="H35" s="138">
        <v>72</v>
      </c>
      <c r="I35" s="159">
        <v>54</v>
      </c>
      <c r="J35" s="138">
        <v>64</v>
      </c>
      <c r="K35" s="138" t="s">
        <v>217</v>
      </c>
    </row>
    <row r="36" ht="20" customHeight="1" spans="1:11">
      <c r="A36" s="127"/>
      <c r="B36" s="127"/>
      <c r="C36" s="128"/>
      <c r="D36" s="128" t="s">
        <v>219</v>
      </c>
      <c r="E36" s="138" t="s">
        <v>217</v>
      </c>
      <c r="F36" s="138" t="s">
        <v>217</v>
      </c>
      <c r="G36" s="138" t="s">
        <v>217</v>
      </c>
      <c r="H36" s="159">
        <v>78</v>
      </c>
      <c r="I36" s="159">
        <v>78</v>
      </c>
      <c r="J36" s="138">
        <v>84</v>
      </c>
      <c r="K36" s="138" t="s">
        <v>217</v>
      </c>
    </row>
    <row r="37" ht="20" customHeight="1" spans="1:11">
      <c r="A37" s="127"/>
      <c r="B37" s="127"/>
      <c r="C37" s="128"/>
      <c r="D37" s="128" t="s">
        <v>220</v>
      </c>
      <c r="E37" s="138" t="s">
        <v>217</v>
      </c>
      <c r="F37" s="138" t="s">
        <v>217</v>
      </c>
      <c r="G37" s="138" t="s">
        <v>217</v>
      </c>
      <c r="H37" s="159">
        <v>84</v>
      </c>
      <c r="I37" s="138" t="s">
        <v>217</v>
      </c>
      <c r="J37" s="138">
        <v>81</v>
      </c>
      <c r="K37" s="138" t="s">
        <v>217</v>
      </c>
    </row>
    <row r="38" ht="20" customHeight="1" spans="1:11">
      <c r="A38" s="127"/>
      <c r="B38" s="127"/>
      <c r="C38" s="128" t="s">
        <v>224</v>
      </c>
      <c r="D38" s="128" t="s">
        <v>216</v>
      </c>
      <c r="E38" s="140" t="s">
        <v>217</v>
      </c>
      <c r="F38" s="140" t="s">
        <v>217</v>
      </c>
      <c r="G38" s="140" t="s">
        <v>217</v>
      </c>
      <c r="H38" s="160">
        <v>54</v>
      </c>
      <c r="I38" s="140">
        <v>75</v>
      </c>
      <c r="J38" s="140">
        <v>72</v>
      </c>
      <c r="K38" s="140" t="s">
        <v>217</v>
      </c>
    </row>
    <row r="39" ht="20" customHeight="1" spans="1:11">
      <c r="A39" s="127"/>
      <c r="B39" s="127"/>
      <c r="C39" s="128"/>
      <c r="D39" s="128" t="s">
        <v>218</v>
      </c>
      <c r="E39" s="140">
        <v>84</v>
      </c>
      <c r="F39" s="140">
        <v>112</v>
      </c>
      <c r="G39" s="140" t="s">
        <v>217</v>
      </c>
      <c r="H39" s="140">
        <v>66</v>
      </c>
      <c r="I39" s="160">
        <v>54</v>
      </c>
      <c r="J39" s="140">
        <v>70</v>
      </c>
      <c r="K39" s="140">
        <v>112</v>
      </c>
    </row>
    <row r="40" ht="20" customHeight="1" spans="1:11">
      <c r="A40" s="127"/>
      <c r="B40" s="127"/>
      <c r="C40" s="128"/>
      <c r="D40" s="128" t="s">
        <v>219</v>
      </c>
      <c r="E40" s="140" t="s">
        <v>217</v>
      </c>
      <c r="F40" s="140" t="s">
        <v>217</v>
      </c>
      <c r="G40" s="140" t="s">
        <v>217</v>
      </c>
      <c r="H40" s="160">
        <v>87</v>
      </c>
      <c r="I40" s="140">
        <v>108</v>
      </c>
      <c r="J40" s="140">
        <v>87</v>
      </c>
      <c r="K40" s="140" t="s">
        <v>217</v>
      </c>
    </row>
    <row r="41" ht="20" customHeight="1" spans="1:11">
      <c r="A41" s="127"/>
      <c r="B41" s="127"/>
      <c r="C41" s="128"/>
      <c r="D41" s="128" t="s">
        <v>220</v>
      </c>
      <c r="E41" s="140" t="s">
        <v>217</v>
      </c>
      <c r="F41" s="140" t="s">
        <v>217</v>
      </c>
      <c r="G41" s="140" t="s">
        <v>217</v>
      </c>
      <c r="H41" s="140" t="s">
        <v>217</v>
      </c>
      <c r="I41" s="160">
        <v>102</v>
      </c>
      <c r="J41" s="140">
        <v>78</v>
      </c>
      <c r="K41" s="140" t="s">
        <v>217</v>
      </c>
    </row>
    <row r="42" ht="20" customHeight="1" spans="1:11">
      <c r="A42" s="127"/>
      <c r="B42" s="127"/>
      <c r="C42" s="128" t="s">
        <v>225</v>
      </c>
      <c r="D42" s="128" t="s">
        <v>216</v>
      </c>
      <c r="E42" s="161" t="s">
        <v>217</v>
      </c>
      <c r="F42" s="161" t="s">
        <v>217</v>
      </c>
      <c r="G42" s="161" t="s">
        <v>217</v>
      </c>
      <c r="H42" s="162">
        <v>84</v>
      </c>
      <c r="I42" s="161">
        <v>93</v>
      </c>
      <c r="J42" s="161">
        <v>108</v>
      </c>
      <c r="K42" s="161" t="s">
        <v>217</v>
      </c>
    </row>
    <row r="43" ht="20" customHeight="1" spans="1:11">
      <c r="A43" s="127"/>
      <c r="B43" s="127"/>
      <c r="C43" s="128"/>
      <c r="D43" s="128" t="s">
        <v>218</v>
      </c>
      <c r="E43" s="161">
        <v>102</v>
      </c>
      <c r="F43" s="161" t="s">
        <v>217</v>
      </c>
      <c r="G43" s="161" t="s">
        <v>217</v>
      </c>
      <c r="H43" s="161">
        <v>60</v>
      </c>
      <c r="I43" s="162">
        <v>48</v>
      </c>
      <c r="J43" s="161">
        <v>66</v>
      </c>
      <c r="K43" s="161">
        <v>90</v>
      </c>
    </row>
    <row r="44" ht="20" customHeight="1" spans="1:11">
      <c r="A44" s="127"/>
      <c r="B44" s="127"/>
      <c r="C44" s="128"/>
      <c r="D44" s="128" t="s">
        <v>219</v>
      </c>
      <c r="E44" s="161" t="s">
        <v>217</v>
      </c>
      <c r="F44" s="161" t="s">
        <v>217</v>
      </c>
      <c r="G44" s="161" t="s">
        <v>217</v>
      </c>
      <c r="H44" s="161">
        <v>78</v>
      </c>
      <c r="I44" s="162">
        <v>75</v>
      </c>
      <c r="J44" s="161">
        <v>102</v>
      </c>
      <c r="K44" s="161">
        <v>96</v>
      </c>
    </row>
    <row r="45" ht="20" customHeight="1" spans="1:11">
      <c r="A45" s="127"/>
      <c r="B45" s="127"/>
      <c r="C45" s="128"/>
      <c r="D45" s="128" t="s">
        <v>220</v>
      </c>
      <c r="E45" s="161" t="s">
        <v>217</v>
      </c>
      <c r="F45" s="161">
        <v>111</v>
      </c>
      <c r="G45" s="161" t="s">
        <v>217</v>
      </c>
      <c r="H45" s="162">
        <v>75</v>
      </c>
      <c r="I45" s="162">
        <v>75</v>
      </c>
      <c r="J45" s="161">
        <v>75</v>
      </c>
      <c r="K45" s="161">
        <v>81</v>
      </c>
    </row>
  </sheetData>
  <sheetProtection formatCells="0" formatColumns="0" formatRows="0" insertRows="0" insertColumns="0" insertHyperlinks="0" deleteColumns="0" deleteRows="0" sort="0" autoFilter="0" pivotTables="0"/>
  <mergeCells count="29">
    <mergeCell ref="A1:K1"/>
    <mergeCell ref="A2:B2"/>
    <mergeCell ref="F2:K2"/>
    <mergeCell ref="A3:B3"/>
    <mergeCell ref="D3:K3"/>
    <mergeCell ref="A4:B4"/>
    <mergeCell ref="D4:K4"/>
    <mergeCell ref="A8:B8"/>
    <mergeCell ref="D8:K8"/>
    <mergeCell ref="A9:B9"/>
    <mergeCell ref="D9:K9"/>
    <mergeCell ref="A10:I10"/>
    <mergeCell ref="J10:K10"/>
    <mergeCell ref="A28:I28"/>
    <mergeCell ref="J28:K28"/>
    <mergeCell ref="A11:A27"/>
    <mergeCell ref="A29:A45"/>
    <mergeCell ref="B11:B27"/>
    <mergeCell ref="B29:B45"/>
    <mergeCell ref="C12:C15"/>
    <mergeCell ref="C16:C19"/>
    <mergeCell ref="C20:C23"/>
    <mergeCell ref="C24:C27"/>
    <mergeCell ref="C30:C33"/>
    <mergeCell ref="C34:C37"/>
    <mergeCell ref="C38:C41"/>
    <mergeCell ref="C42:C45"/>
    <mergeCell ref="A5:B7"/>
    <mergeCell ref="F5:K7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1"/>
  <sheetViews>
    <sheetView view="pageBreakPreview" zoomScale="90" zoomScaleNormal="100" workbookViewId="0">
      <selection activeCell="A1" sqref="A1:N1"/>
    </sheetView>
  </sheetViews>
  <sheetFormatPr defaultColWidth="9" defaultRowHeight="14.25" customHeight="1"/>
  <cols>
    <col min="1" max="1" width="16.1666666666667" style="119" customWidth="1"/>
    <col min="2" max="6" width="11.6666666666667" style="119" customWidth="1"/>
    <col min="7" max="7" width="30.6666666666667" style="119" customWidth="1"/>
    <col min="8" max="9" width="19" style="119" customWidth="1"/>
    <col min="10" max="11" width="18.25" style="119" customWidth="1"/>
    <col min="12" max="12" width="19.125" style="119" customWidth="1"/>
    <col min="13" max="13" width="16.875" style="119" customWidth="1"/>
    <col min="14" max="14" width="10.6666666666667" style="119" customWidth="1"/>
    <col min="15" max="16384" width="9" style="120"/>
  </cols>
  <sheetData>
    <row r="1" ht="35" customHeight="1" spans="1:14">
      <c r="A1" s="53" t="s">
        <v>228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33"/>
    </row>
    <row r="2" ht="30" customHeight="1" spans="1:14">
      <c r="A2" s="122" t="s">
        <v>32</v>
      </c>
      <c r="B2" s="123">
        <v>45825</v>
      </c>
      <c r="C2" s="123"/>
      <c r="D2" s="123"/>
      <c r="E2" s="123"/>
      <c r="F2" s="123"/>
      <c r="G2" s="123"/>
      <c r="H2" s="122"/>
      <c r="I2" s="122" t="s">
        <v>33</v>
      </c>
      <c r="J2" s="130" t="s">
        <v>191</v>
      </c>
      <c r="K2" s="130"/>
      <c r="L2" s="130"/>
      <c r="M2" s="130"/>
      <c r="N2" s="130"/>
    </row>
    <row r="3" ht="30" customHeight="1" spans="1:14">
      <c r="A3" s="122" t="s">
        <v>229</v>
      </c>
      <c r="B3" s="124" t="s">
        <v>230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</row>
    <row r="4" ht="30" customHeight="1" spans="1:14">
      <c r="A4" s="122" t="s">
        <v>194</v>
      </c>
      <c r="B4" s="125" t="s">
        <v>231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</row>
    <row r="5" ht="99.5" customHeight="1" spans="1:14">
      <c r="A5" s="122" t="s">
        <v>37</v>
      </c>
      <c r="B5" s="125" t="s">
        <v>232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</row>
    <row r="6" ht="60" customHeight="1" spans="1:14">
      <c r="A6" s="122" t="s">
        <v>202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</row>
    <row r="7" ht="66" customHeight="1" spans="1:14">
      <c r="A7" s="127" t="s">
        <v>42</v>
      </c>
      <c r="B7" s="128" t="s">
        <v>207</v>
      </c>
      <c r="C7" s="128" t="s">
        <v>233</v>
      </c>
      <c r="D7" s="128" t="s">
        <v>234</v>
      </c>
      <c r="E7" s="128" t="s">
        <v>235</v>
      </c>
      <c r="F7" s="128" t="s">
        <v>236</v>
      </c>
      <c r="G7" s="128" t="s">
        <v>237</v>
      </c>
      <c r="H7" s="129" t="s">
        <v>33</v>
      </c>
      <c r="I7" s="129" t="s">
        <v>238</v>
      </c>
      <c r="J7" s="129" t="s">
        <v>239</v>
      </c>
      <c r="K7" s="129" t="s">
        <v>240</v>
      </c>
      <c r="L7" s="134" t="s">
        <v>211</v>
      </c>
      <c r="M7" s="134" t="s">
        <v>212</v>
      </c>
      <c r="N7" s="134" t="s">
        <v>214</v>
      </c>
    </row>
    <row r="8" ht="71" customHeight="1" spans="1:14">
      <c r="A8" s="127"/>
      <c r="B8" s="128"/>
      <c r="C8" s="128"/>
      <c r="D8" s="128"/>
      <c r="E8" s="128"/>
      <c r="F8" s="128"/>
      <c r="G8" s="128"/>
      <c r="H8" s="129"/>
      <c r="I8" s="128" t="s">
        <v>241</v>
      </c>
      <c r="J8" s="128" t="s">
        <v>241</v>
      </c>
      <c r="K8" s="128" t="s">
        <v>241</v>
      </c>
      <c r="L8" s="128" t="s">
        <v>241</v>
      </c>
      <c r="M8" s="128" t="s">
        <v>241</v>
      </c>
      <c r="N8" s="128" t="s">
        <v>241</v>
      </c>
    </row>
    <row r="9" ht="24" customHeight="1" spans="1:14">
      <c r="A9" s="127"/>
      <c r="B9" s="128" t="s">
        <v>242</v>
      </c>
      <c r="C9" s="128" t="s">
        <v>243</v>
      </c>
      <c r="D9" s="128" t="s">
        <v>244</v>
      </c>
      <c r="E9" s="128" t="s">
        <v>245</v>
      </c>
      <c r="F9" s="128" t="s">
        <v>246</v>
      </c>
      <c r="G9" s="128" t="s">
        <v>247</v>
      </c>
      <c r="H9" s="128" t="s">
        <v>15</v>
      </c>
      <c r="I9" s="135">
        <v>30</v>
      </c>
      <c r="J9" s="135">
        <v>7</v>
      </c>
      <c r="K9" s="135">
        <v>3</v>
      </c>
      <c r="L9" s="135">
        <v>7</v>
      </c>
      <c r="M9" s="135">
        <v>59</v>
      </c>
      <c r="N9" s="135">
        <v>0</v>
      </c>
    </row>
    <row r="10" ht="24" customHeight="1" spans="1:14">
      <c r="A10" s="127"/>
      <c r="B10" s="128"/>
      <c r="C10" s="128"/>
      <c r="D10" s="128"/>
      <c r="E10" s="128"/>
      <c r="F10" s="128"/>
      <c r="G10" s="128"/>
      <c r="H10" s="130" t="s">
        <v>215</v>
      </c>
      <c r="I10" s="136">
        <v>56</v>
      </c>
      <c r="J10" s="136">
        <v>32</v>
      </c>
      <c r="K10" s="136">
        <v>71</v>
      </c>
      <c r="L10" s="136">
        <v>72</v>
      </c>
      <c r="M10" s="136">
        <v>29</v>
      </c>
      <c r="N10" s="136"/>
    </row>
    <row r="11" ht="24" customHeight="1" spans="1:14">
      <c r="A11" s="127"/>
      <c r="B11" s="128"/>
      <c r="C11" s="128"/>
      <c r="D11" s="128"/>
      <c r="E11" s="128"/>
      <c r="F11" s="128"/>
      <c r="G11" s="128"/>
      <c r="H11" s="130" t="s">
        <v>225</v>
      </c>
      <c r="I11" s="136">
        <v>7</v>
      </c>
      <c r="J11" s="136">
        <v>3</v>
      </c>
      <c r="K11" s="136">
        <v>7</v>
      </c>
      <c r="L11" s="136">
        <v>9</v>
      </c>
      <c r="M11" s="136">
        <v>4</v>
      </c>
      <c r="N11" s="136">
        <v>1</v>
      </c>
    </row>
    <row r="12" ht="24" customHeight="1" spans="1:14">
      <c r="A12" s="127"/>
      <c r="B12" s="128"/>
      <c r="C12" s="128"/>
      <c r="D12" s="128"/>
      <c r="E12" s="128"/>
      <c r="F12" s="128"/>
      <c r="G12" s="128"/>
      <c r="H12" s="128" t="s">
        <v>224</v>
      </c>
      <c r="I12" s="135">
        <v>2</v>
      </c>
      <c r="J12" s="135">
        <v>2</v>
      </c>
      <c r="K12" s="135">
        <v>6</v>
      </c>
      <c r="L12" s="135">
        <v>15</v>
      </c>
      <c r="M12" s="135">
        <v>5</v>
      </c>
      <c r="N12" s="135">
        <v>1</v>
      </c>
    </row>
    <row r="13" ht="24" customHeight="1" spans="1:14">
      <c r="A13" s="127"/>
      <c r="B13" s="128"/>
      <c r="C13" s="128"/>
      <c r="D13" s="128"/>
      <c r="E13" s="128"/>
      <c r="F13" s="128"/>
      <c r="G13" s="128" t="s">
        <v>248</v>
      </c>
      <c r="H13" s="128" t="s">
        <v>15</v>
      </c>
      <c r="I13" s="137">
        <v>17</v>
      </c>
      <c r="J13" s="137">
        <v>4</v>
      </c>
      <c r="K13" s="137">
        <v>0</v>
      </c>
      <c r="L13" s="137">
        <v>13</v>
      </c>
      <c r="M13" s="137">
        <v>15</v>
      </c>
      <c r="N13" s="137">
        <v>8</v>
      </c>
    </row>
    <row r="14" ht="24" customHeight="1" spans="1:14">
      <c r="A14" s="127"/>
      <c r="B14" s="128"/>
      <c r="C14" s="128"/>
      <c r="D14" s="128"/>
      <c r="E14" s="128"/>
      <c r="F14" s="128"/>
      <c r="G14" s="128"/>
      <c r="H14" s="130" t="s">
        <v>215</v>
      </c>
      <c r="I14" s="137">
        <v>7</v>
      </c>
      <c r="J14" s="137">
        <v>2</v>
      </c>
      <c r="K14" s="137">
        <v>43</v>
      </c>
      <c r="L14" s="137">
        <v>81</v>
      </c>
      <c r="M14" s="137">
        <v>11</v>
      </c>
      <c r="N14" s="137"/>
    </row>
    <row r="15" ht="24" customHeight="1" spans="1:14">
      <c r="A15" s="127"/>
      <c r="B15" s="128"/>
      <c r="C15" s="128"/>
      <c r="D15" s="128"/>
      <c r="E15" s="128"/>
      <c r="F15" s="128"/>
      <c r="G15" s="128"/>
      <c r="H15" s="130" t="s">
        <v>225</v>
      </c>
      <c r="I15" s="138">
        <v>6</v>
      </c>
      <c r="J15" s="138">
        <v>1</v>
      </c>
      <c r="K15" s="138">
        <v>0</v>
      </c>
      <c r="L15" s="138">
        <v>3</v>
      </c>
      <c r="M15" s="138">
        <v>11</v>
      </c>
      <c r="N15" s="138">
        <v>3</v>
      </c>
    </row>
    <row r="16" ht="24" customHeight="1" spans="1:14">
      <c r="A16" s="127"/>
      <c r="B16" s="128"/>
      <c r="C16" s="128"/>
      <c r="D16" s="128"/>
      <c r="E16" s="128"/>
      <c r="F16" s="128"/>
      <c r="G16" s="128"/>
      <c r="H16" s="128" t="s">
        <v>224</v>
      </c>
      <c r="I16" s="138">
        <v>0</v>
      </c>
      <c r="J16" s="138">
        <v>0</v>
      </c>
      <c r="K16" s="138">
        <v>3</v>
      </c>
      <c r="L16" s="138">
        <v>20</v>
      </c>
      <c r="M16" s="138">
        <v>57</v>
      </c>
      <c r="N16" s="138">
        <v>1</v>
      </c>
    </row>
    <row r="17" ht="24" customHeight="1" spans="1:14">
      <c r="A17" s="127"/>
      <c r="B17" s="128"/>
      <c r="C17" s="128"/>
      <c r="D17" s="128"/>
      <c r="E17" s="128"/>
      <c r="F17" s="128"/>
      <c r="G17" s="128" t="s">
        <v>249</v>
      </c>
      <c r="H17" s="128" t="s">
        <v>15</v>
      </c>
      <c r="I17" s="139">
        <v>13</v>
      </c>
      <c r="J17" s="139">
        <v>2</v>
      </c>
      <c r="K17" s="139">
        <v>0</v>
      </c>
      <c r="L17" s="139">
        <v>1</v>
      </c>
      <c r="M17" s="139">
        <v>65</v>
      </c>
      <c r="N17" s="139">
        <v>7</v>
      </c>
    </row>
    <row r="18" ht="24" customHeight="1" spans="1:14">
      <c r="A18" s="127"/>
      <c r="B18" s="128"/>
      <c r="C18" s="128"/>
      <c r="D18" s="128"/>
      <c r="E18" s="128"/>
      <c r="F18" s="128"/>
      <c r="G18" s="128"/>
      <c r="H18" s="130" t="s">
        <v>215</v>
      </c>
      <c r="I18" s="139">
        <v>88</v>
      </c>
      <c r="J18" s="139">
        <v>29</v>
      </c>
      <c r="K18" s="139">
        <v>37</v>
      </c>
      <c r="L18" s="139">
        <v>64</v>
      </c>
      <c r="M18" s="139">
        <v>83</v>
      </c>
      <c r="N18" s="139"/>
    </row>
    <row r="19" ht="24" customHeight="1" spans="1:14">
      <c r="A19" s="127"/>
      <c r="B19" s="128"/>
      <c r="C19" s="128"/>
      <c r="D19" s="128"/>
      <c r="E19" s="128"/>
      <c r="F19" s="128"/>
      <c r="G19" s="128"/>
      <c r="H19" s="130" t="s">
        <v>225</v>
      </c>
      <c r="I19" s="140">
        <v>8</v>
      </c>
      <c r="J19" s="140">
        <v>2</v>
      </c>
      <c r="K19" s="140">
        <v>10</v>
      </c>
      <c r="L19" s="140">
        <v>14</v>
      </c>
      <c r="M19" s="140">
        <v>64</v>
      </c>
      <c r="N19" s="140">
        <v>22</v>
      </c>
    </row>
    <row r="20" ht="24" customHeight="1" spans="1:14">
      <c r="A20" s="127"/>
      <c r="B20" s="128"/>
      <c r="C20" s="128"/>
      <c r="D20" s="128"/>
      <c r="E20" s="128"/>
      <c r="F20" s="128"/>
      <c r="G20" s="128"/>
      <c r="H20" s="128" t="s">
        <v>224</v>
      </c>
      <c r="I20" s="140">
        <v>1</v>
      </c>
      <c r="J20" s="140">
        <v>1</v>
      </c>
      <c r="K20" s="140">
        <v>0</v>
      </c>
      <c r="L20" s="140">
        <v>2</v>
      </c>
      <c r="M20" s="140">
        <v>71</v>
      </c>
      <c r="N20" s="140">
        <v>6</v>
      </c>
    </row>
    <row r="21" ht="24" customHeight="1" spans="1:14">
      <c r="A21" s="127"/>
      <c r="B21" s="128"/>
      <c r="C21" s="128"/>
      <c r="D21" s="128"/>
      <c r="E21" s="128"/>
      <c r="F21" s="128"/>
      <c r="G21" s="131" t="s">
        <v>250</v>
      </c>
      <c r="H21" s="132"/>
      <c r="I21" s="106">
        <f t="shared" ref="I21:N21" si="0">SUM(I9:I20)</f>
        <v>235</v>
      </c>
      <c r="J21" s="106">
        <f t="shared" si="0"/>
        <v>85</v>
      </c>
      <c r="K21" s="106">
        <f t="shared" si="0"/>
        <v>180</v>
      </c>
      <c r="L21" s="106">
        <f t="shared" si="0"/>
        <v>301</v>
      </c>
      <c r="M21" s="106">
        <f t="shared" si="0"/>
        <v>474</v>
      </c>
      <c r="N21" s="106">
        <f t="shared" si="0"/>
        <v>49</v>
      </c>
    </row>
  </sheetData>
  <sheetProtection formatCells="0" formatColumns="0" formatRows="0" insertRows="0" insertColumns="0" insertHyperlinks="0" deleteColumns="0" deleteRows="0" sort="0" autoFilter="0" pivotTables="0"/>
  <mergeCells count="24">
    <mergeCell ref="A1:N1"/>
    <mergeCell ref="B2:G2"/>
    <mergeCell ref="J2:N2"/>
    <mergeCell ref="B3:N3"/>
    <mergeCell ref="B4:N4"/>
    <mergeCell ref="B5:N5"/>
    <mergeCell ref="B6:N6"/>
    <mergeCell ref="G21:H21"/>
    <mergeCell ref="A7:A21"/>
    <mergeCell ref="B7:B8"/>
    <mergeCell ref="B9:B21"/>
    <mergeCell ref="C7:C8"/>
    <mergeCell ref="C9:C21"/>
    <mergeCell ref="D7:D8"/>
    <mergeCell ref="D9:D21"/>
    <mergeCell ref="E7:E8"/>
    <mergeCell ref="E9:E21"/>
    <mergeCell ref="F7:F8"/>
    <mergeCell ref="F9:F21"/>
    <mergeCell ref="G7:G8"/>
    <mergeCell ref="G9:G12"/>
    <mergeCell ref="G13:G16"/>
    <mergeCell ref="G17:G20"/>
    <mergeCell ref="H7:H8"/>
  </mergeCells>
  <pageMargins left="0.7" right="0.7" top="0.75" bottom="0.75" header="0.3" footer="0.3"/>
  <pageSetup paperSize="9" scale="3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87"/>
  <sheetViews>
    <sheetView topLeftCell="A73" workbookViewId="0">
      <selection activeCell="T5" sqref="T5"/>
    </sheetView>
  </sheetViews>
  <sheetFormatPr defaultColWidth="9" defaultRowHeight="14.25" customHeight="1"/>
  <cols>
    <col min="1" max="1" width="13.5" style="1" customWidth="1"/>
    <col min="2" max="9" width="12.5" style="1" customWidth="1"/>
    <col min="10" max="14" width="9" style="1" hidden="1" customWidth="1"/>
    <col min="15" max="16" width="10.3333333333333" style="1" hidden="1" customWidth="1"/>
    <col min="17" max="40" width="9" style="2"/>
  </cols>
  <sheetData>
    <row r="1" ht="72" customHeight="1" spans="1:9">
      <c r="A1" s="69" t="s">
        <v>251</v>
      </c>
      <c r="B1" s="69"/>
      <c r="C1" s="69"/>
      <c r="D1" s="69"/>
      <c r="E1" s="69"/>
      <c r="F1" s="69"/>
      <c r="G1" s="69"/>
      <c r="H1" s="69"/>
      <c r="I1" s="69"/>
    </row>
    <row r="2" ht="22" customHeight="1" spans="1:9">
      <c r="A2" s="102" t="s">
        <v>32</v>
      </c>
      <c r="B2" s="103">
        <v>45826</v>
      </c>
      <c r="C2" s="103"/>
      <c r="D2" s="102" t="s">
        <v>33</v>
      </c>
      <c r="E2" s="70" t="s">
        <v>15</v>
      </c>
      <c r="F2" s="70"/>
      <c r="G2" s="70"/>
      <c r="H2" s="70"/>
      <c r="I2" s="70"/>
    </row>
    <row r="3" ht="30.25" customHeight="1" spans="1:9">
      <c r="A3" s="102" t="s">
        <v>229</v>
      </c>
      <c r="B3" s="71" t="s">
        <v>252</v>
      </c>
      <c r="C3" s="71"/>
      <c r="D3" s="71"/>
      <c r="E3" s="71"/>
      <c r="F3" s="71"/>
      <c r="G3" s="71"/>
      <c r="H3" s="71"/>
      <c r="I3" s="71"/>
    </row>
    <row r="4" ht="40" customHeight="1" spans="1:9">
      <c r="A4" s="104" t="s">
        <v>253</v>
      </c>
      <c r="B4" s="105" t="s">
        <v>254</v>
      </c>
      <c r="C4" s="105"/>
      <c r="D4" s="105"/>
      <c r="E4" s="105"/>
      <c r="F4" s="105"/>
      <c r="G4" s="105"/>
      <c r="H4" s="105"/>
      <c r="I4" s="105"/>
    </row>
    <row r="5" ht="226" customHeight="1" spans="1:11">
      <c r="A5" s="106" t="s">
        <v>39</v>
      </c>
      <c r="B5" s="71" t="s">
        <v>255</v>
      </c>
      <c r="C5" s="107"/>
      <c r="D5" s="107"/>
      <c r="E5" s="9"/>
      <c r="F5" s="107"/>
      <c r="G5" s="107"/>
      <c r="H5" s="107"/>
      <c r="I5" s="107"/>
      <c r="J5" s="114"/>
      <c r="K5" s="114"/>
    </row>
    <row r="6" ht="39" customHeight="1" spans="1:9">
      <c r="A6" s="106" t="s">
        <v>41</v>
      </c>
      <c r="B6" s="41" t="s">
        <v>25</v>
      </c>
      <c r="C6" s="108"/>
      <c r="D6" s="108"/>
      <c r="E6" s="108"/>
      <c r="F6" s="108"/>
      <c r="G6" s="108"/>
      <c r="H6" s="108"/>
      <c r="I6" s="108"/>
    </row>
    <row r="7" ht="18" customHeight="1" spans="1:16">
      <c r="A7" s="109" t="s">
        <v>256</v>
      </c>
      <c r="B7" s="107"/>
      <c r="C7" s="107"/>
      <c r="D7" s="107"/>
      <c r="E7" s="107"/>
      <c r="F7" s="107"/>
      <c r="G7" s="107"/>
      <c r="H7" s="107"/>
      <c r="I7" s="107"/>
      <c r="J7" s="115" t="s">
        <v>257</v>
      </c>
      <c r="K7" s="116"/>
      <c r="L7" s="116"/>
      <c r="M7" s="116"/>
      <c r="N7" s="116"/>
      <c r="O7" s="116"/>
      <c r="P7" s="116"/>
    </row>
    <row r="8" ht="18" customHeight="1" spans="1:16">
      <c r="A8" s="8" t="s">
        <v>258</v>
      </c>
      <c r="B8" s="8" t="s">
        <v>259</v>
      </c>
      <c r="C8" s="8" t="s">
        <v>260</v>
      </c>
      <c r="D8" s="110" t="s">
        <v>261</v>
      </c>
      <c r="E8" s="111" t="s">
        <v>262</v>
      </c>
      <c r="F8" s="15" t="s">
        <v>49</v>
      </c>
      <c r="G8" s="15" t="s">
        <v>50</v>
      </c>
      <c r="H8" s="15" t="s">
        <v>263</v>
      </c>
      <c r="I8" s="8" t="s">
        <v>264</v>
      </c>
      <c r="J8" s="117" t="s">
        <v>258</v>
      </c>
      <c r="K8" s="27" t="s">
        <v>259</v>
      </c>
      <c r="L8" s="27" t="s">
        <v>260</v>
      </c>
      <c r="M8" s="118" t="s">
        <v>261</v>
      </c>
      <c r="N8" s="118" t="s">
        <v>262</v>
      </c>
      <c r="O8" s="27" t="s">
        <v>49</v>
      </c>
      <c r="P8" s="27" t="s">
        <v>50</v>
      </c>
    </row>
    <row r="9" ht="18" customHeight="1" spans="1:16">
      <c r="A9" s="112">
        <v>2477</v>
      </c>
      <c r="B9" s="112">
        <v>2402</v>
      </c>
      <c r="C9" s="112">
        <v>75</v>
      </c>
      <c r="D9" s="113">
        <v>-67</v>
      </c>
      <c r="E9" s="112">
        <v>-6</v>
      </c>
      <c r="F9" s="112">
        <v>0.0454713</v>
      </c>
      <c r="G9" s="112">
        <v>49.7504</v>
      </c>
      <c r="H9" s="8">
        <f t="shared" ref="H9:H72" si="0">D9-E9</f>
        <v>-61</v>
      </c>
      <c r="I9" s="88" t="s">
        <v>265</v>
      </c>
      <c r="J9" s="27">
        <v>2477</v>
      </c>
      <c r="K9" s="27">
        <v>2402</v>
      </c>
      <c r="L9" s="27">
        <v>75</v>
      </c>
      <c r="M9" s="27">
        <v>-67</v>
      </c>
      <c r="N9" s="27">
        <v>-10</v>
      </c>
      <c r="O9" s="27">
        <v>0.061433</v>
      </c>
      <c r="P9" s="27">
        <v>0.282638</v>
      </c>
    </row>
    <row r="10" ht="18" customHeight="1" spans="1:16">
      <c r="A10" s="112">
        <v>2477</v>
      </c>
      <c r="B10" s="112">
        <v>2403</v>
      </c>
      <c r="C10" s="112">
        <v>74</v>
      </c>
      <c r="D10" s="113">
        <v>-67</v>
      </c>
      <c r="E10" s="112">
        <v>-9</v>
      </c>
      <c r="F10" s="112">
        <v>0.0182253</v>
      </c>
      <c r="G10" s="112">
        <v>46.4539</v>
      </c>
      <c r="H10" s="8">
        <f t="shared" si="0"/>
        <v>-58</v>
      </c>
      <c r="I10" s="8" t="s">
        <v>265</v>
      </c>
      <c r="J10" s="27">
        <v>2477</v>
      </c>
      <c r="K10" s="27">
        <v>2403</v>
      </c>
      <c r="L10" s="27">
        <v>74</v>
      </c>
      <c r="M10" s="27">
        <v>-67</v>
      </c>
      <c r="N10" s="27">
        <v>-10</v>
      </c>
      <c r="O10" s="27">
        <v>0.070869</v>
      </c>
      <c r="P10" s="27">
        <v>0.349556</v>
      </c>
    </row>
    <row r="11" ht="18" customHeight="1" spans="1:16">
      <c r="A11" s="112">
        <v>2477</v>
      </c>
      <c r="B11" s="112">
        <v>2404</v>
      </c>
      <c r="C11" s="112">
        <v>73</v>
      </c>
      <c r="D11" s="113">
        <v>-67</v>
      </c>
      <c r="E11" s="112">
        <v>-6</v>
      </c>
      <c r="F11" s="112">
        <v>0.0610579</v>
      </c>
      <c r="G11" s="112">
        <v>55.6701</v>
      </c>
      <c r="H11" s="8">
        <f t="shared" si="0"/>
        <v>-61</v>
      </c>
      <c r="I11" s="8" t="s">
        <v>265</v>
      </c>
      <c r="J11" s="27">
        <v>2477</v>
      </c>
      <c r="K11" s="27">
        <v>2404</v>
      </c>
      <c r="L11" s="27">
        <v>73</v>
      </c>
      <c r="M11" s="27">
        <v>-67</v>
      </c>
      <c r="N11" s="27">
        <v>-10</v>
      </c>
      <c r="O11" s="27">
        <v>0.075181</v>
      </c>
      <c r="P11" s="27">
        <v>0.296097</v>
      </c>
    </row>
    <row r="12" ht="18" customHeight="1" spans="1:16">
      <c r="A12" s="112">
        <v>2477</v>
      </c>
      <c r="B12" s="112">
        <v>2405</v>
      </c>
      <c r="C12" s="112">
        <v>72</v>
      </c>
      <c r="D12" s="113">
        <v>-67</v>
      </c>
      <c r="E12" s="112">
        <v>-8</v>
      </c>
      <c r="F12" s="112">
        <v>0.0116593</v>
      </c>
      <c r="G12" s="112">
        <v>34.0659</v>
      </c>
      <c r="H12" s="8">
        <f t="shared" si="0"/>
        <v>-59</v>
      </c>
      <c r="I12" s="8" t="s">
        <v>265</v>
      </c>
      <c r="J12" s="27">
        <v>2477</v>
      </c>
      <c r="K12" s="27">
        <v>2405</v>
      </c>
      <c r="L12" s="27">
        <v>72</v>
      </c>
      <c r="M12" s="27">
        <v>-67</v>
      </c>
      <c r="N12" s="27">
        <v>-10</v>
      </c>
      <c r="O12" s="27">
        <v>0.098805</v>
      </c>
      <c r="P12" s="27">
        <v>0.309473</v>
      </c>
    </row>
    <row r="13" ht="18" customHeight="1" spans="1:16">
      <c r="A13" s="112">
        <v>2477</v>
      </c>
      <c r="B13" s="112">
        <v>2406</v>
      </c>
      <c r="C13" s="112">
        <v>71</v>
      </c>
      <c r="D13" s="113">
        <v>-67</v>
      </c>
      <c r="E13" s="112">
        <v>-6</v>
      </c>
      <c r="F13" s="112">
        <v>0.0709377</v>
      </c>
      <c r="G13" s="112">
        <v>48.11</v>
      </c>
      <c r="H13" s="8">
        <f t="shared" si="0"/>
        <v>-61</v>
      </c>
      <c r="I13" s="8" t="s">
        <v>265</v>
      </c>
      <c r="J13" s="27">
        <v>2477</v>
      </c>
      <c r="K13" s="27">
        <v>2406</v>
      </c>
      <c r="L13" s="27">
        <v>71</v>
      </c>
      <c r="M13" s="27">
        <v>-67</v>
      </c>
      <c r="N13" s="27">
        <v>-10</v>
      </c>
      <c r="O13" s="27">
        <v>0.084618</v>
      </c>
      <c r="P13" s="27">
        <v>0.322841</v>
      </c>
    </row>
    <row r="14" ht="18" customHeight="1" spans="1:16">
      <c r="A14" s="112">
        <v>2477</v>
      </c>
      <c r="B14" s="112">
        <v>2407</v>
      </c>
      <c r="C14" s="112">
        <v>70</v>
      </c>
      <c r="D14" s="113">
        <v>-67</v>
      </c>
      <c r="E14" s="112">
        <v>-7</v>
      </c>
      <c r="F14" s="112">
        <v>0.0112298</v>
      </c>
      <c r="G14" s="112">
        <v>36.3057</v>
      </c>
      <c r="H14" s="8">
        <f t="shared" si="0"/>
        <v>-60</v>
      </c>
      <c r="I14" s="8" t="s">
        <v>265</v>
      </c>
      <c r="J14" s="27">
        <v>2477</v>
      </c>
      <c r="K14" s="27">
        <v>2407</v>
      </c>
      <c r="L14" s="27">
        <v>70</v>
      </c>
      <c r="M14" s="27">
        <v>-67</v>
      </c>
      <c r="N14" s="27">
        <v>-10</v>
      </c>
      <c r="O14" s="27">
        <v>0.081181</v>
      </c>
      <c r="P14" s="27">
        <v>0.416667</v>
      </c>
    </row>
    <row r="15" ht="18" customHeight="1" spans="1:16">
      <c r="A15" s="112">
        <v>2477</v>
      </c>
      <c r="B15" s="112">
        <v>2408</v>
      </c>
      <c r="C15" s="112">
        <v>69</v>
      </c>
      <c r="D15" s="113">
        <v>-67</v>
      </c>
      <c r="E15" s="112">
        <v>-6</v>
      </c>
      <c r="F15" s="112">
        <v>0.068974</v>
      </c>
      <c r="G15" s="112">
        <v>49.7512</v>
      </c>
      <c r="H15" s="8">
        <f t="shared" si="0"/>
        <v>-61</v>
      </c>
      <c r="I15" s="8" t="s">
        <v>265</v>
      </c>
      <c r="J15" s="27">
        <v>2477</v>
      </c>
      <c r="K15" s="27">
        <v>2408</v>
      </c>
      <c r="L15" s="27">
        <v>69</v>
      </c>
      <c r="M15" s="27">
        <v>-67</v>
      </c>
      <c r="N15" s="27">
        <v>-10</v>
      </c>
      <c r="O15" s="27">
        <v>0.094242</v>
      </c>
      <c r="P15" s="27">
        <v>0.443429</v>
      </c>
    </row>
    <row r="16" ht="18" customHeight="1" spans="1:16">
      <c r="A16" s="112">
        <v>2477</v>
      </c>
      <c r="B16" s="112">
        <v>2409</v>
      </c>
      <c r="C16" s="112">
        <v>68</v>
      </c>
      <c r="D16" s="113">
        <v>-67</v>
      </c>
      <c r="E16" s="112">
        <v>-7</v>
      </c>
      <c r="F16" s="112">
        <v>0.00797742</v>
      </c>
      <c r="G16" s="112">
        <v>37.2385</v>
      </c>
      <c r="H16" s="8">
        <f t="shared" si="0"/>
        <v>-60</v>
      </c>
      <c r="I16" s="8" t="s">
        <v>265</v>
      </c>
      <c r="J16" s="27">
        <v>2477</v>
      </c>
      <c r="K16" s="27">
        <v>2409</v>
      </c>
      <c r="L16" s="27">
        <v>68</v>
      </c>
      <c r="M16" s="27">
        <v>-67</v>
      </c>
      <c r="N16" s="27">
        <v>-11</v>
      </c>
      <c r="O16" s="27">
        <v>0.025621</v>
      </c>
      <c r="P16" s="27">
        <v>0</v>
      </c>
    </row>
    <row r="17" ht="18" customHeight="1" spans="1:16">
      <c r="A17" s="112">
        <v>2477</v>
      </c>
      <c r="B17" s="112">
        <v>2410</v>
      </c>
      <c r="C17" s="112">
        <v>67</v>
      </c>
      <c r="D17" s="113">
        <v>-67</v>
      </c>
      <c r="E17" s="112">
        <v>-6</v>
      </c>
      <c r="F17" s="112">
        <v>0.093029</v>
      </c>
      <c r="G17" s="112">
        <v>51.9936</v>
      </c>
      <c r="H17" s="8">
        <f t="shared" si="0"/>
        <v>-61</v>
      </c>
      <c r="I17" s="8" t="s">
        <v>265</v>
      </c>
      <c r="J17" s="27">
        <v>2477</v>
      </c>
      <c r="K17" s="27">
        <v>2410</v>
      </c>
      <c r="L17" s="27">
        <v>67</v>
      </c>
      <c r="M17" s="27">
        <v>-67</v>
      </c>
      <c r="N17" s="27">
        <v>-11</v>
      </c>
      <c r="O17" s="27">
        <v>0.054621</v>
      </c>
      <c r="P17" s="27">
        <v>0.228925</v>
      </c>
    </row>
    <row r="18" ht="18" customHeight="1" spans="1:16">
      <c r="A18" s="112">
        <v>2477</v>
      </c>
      <c r="B18" s="112">
        <v>2411</v>
      </c>
      <c r="C18" s="112">
        <v>66</v>
      </c>
      <c r="D18" s="113">
        <v>-67</v>
      </c>
      <c r="E18" s="112">
        <v>-13</v>
      </c>
      <c r="F18" s="112">
        <v>0.0625307</v>
      </c>
      <c r="G18" s="112">
        <v>32.6622</v>
      </c>
      <c r="H18" s="8">
        <f t="shared" si="0"/>
        <v>-54</v>
      </c>
      <c r="I18" s="8" t="s">
        <v>265</v>
      </c>
      <c r="J18" s="27">
        <v>2477</v>
      </c>
      <c r="K18" s="27">
        <v>2411</v>
      </c>
      <c r="L18" s="27">
        <v>66</v>
      </c>
      <c r="M18" s="27">
        <v>-67</v>
      </c>
      <c r="N18" s="27">
        <v>-14</v>
      </c>
      <c r="O18" s="27">
        <v>0.017752</v>
      </c>
      <c r="P18" s="27">
        <v>0</v>
      </c>
    </row>
    <row r="19" ht="18" customHeight="1" spans="1:16">
      <c r="A19" s="112">
        <v>2477</v>
      </c>
      <c r="B19" s="112">
        <v>2412</v>
      </c>
      <c r="C19" s="112">
        <v>65</v>
      </c>
      <c r="D19" s="113">
        <v>-67</v>
      </c>
      <c r="E19" s="112">
        <v>-8</v>
      </c>
      <c r="F19" s="112">
        <v>0.0165685</v>
      </c>
      <c r="G19" s="112">
        <v>41.4729</v>
      </c>
      <c r="H19" s="8">
        <f t="shared" si="0"/>
        <v>-59</v>
      </c>
      <c r="I19" s="8" t="s">
        <v>265</v>
      </c>
      <c r="J19" s="27">
        <v>2477</v>
      </c>
      <c r="K19" s="27">
        <v>2412</v>
      </c>
      <c r="L19" s="27">
        <v>65</v>
      </c>
      <c r="M19" s="27">
        <v>-67</v>
      </c>
      <c r="N19" s="27">
        <v>-10</v>
      </c>
      <c r="O19" s="27">
        <v>0.052496</v>
      </c>
      <c r="P19" s="27">
        <v>0.282638</v>
      </c>
    </row>
    <row r="20" ht="18" customHeight="1" spans="1:16">
      <c r="A20" s="112">
        <v>2477</v>
      </c>
      <c r="B20" s="112">
        <v>2413</v>
      </c>
      <c r="C20" s="112">
        <v>64</v>
      </c>
      <c r="D20" s="113">
        <v>-67</v>
      </c>
      <c r="E20" s="112">
        <v>-7</v>
      </c>
      <c r="F20" s="112">
        <v>0.0253436</v>
      </c>
      <c r="G20" s="112">
        <v>44.4853</v>
      </c>
      <c r="H20" s="8">
        <f t="shared" si="0"/>
        <v>-60</v>
      </c>
      <c r="I20" s="8" t="s">
        <v>265</v>
      </c>
      <c r="J20" s="27">
        <v>2477</v>
      </c>
      <c r="K20" s="27">
        <v>2413</v>
      </c>
      <c r="L20" s="27">
        <v>64</v>
      </c>
      <c r="M20" s="27">
        <v>-67</v>
      </c>
      <c r="N20" s="27">
        <v>-10</v>
      </c>
      <c r="O20" s="27">
        <v>0.051808</v>
      </c>
      <c r="P20" s="27">
        <v>0.175155</v>
      </c>
    </row>
    <row r="21" ht="18" customHeight="1" spans="1:16">
      <c r="A21" s="112">
        <v>2477</v>
      </c>
      <c r="B21" s="112">
        <v>2414</v>
      </c>
      <c r="C21" s="112">
        <v>63</v>
      </c>
      <c r="D21" s="113">
        <v>-67</v>
      </c>
      <c r="E21" s="112">
        <v>-6</v>
      </c>
      <c r="F21" s="112">
        <v>0.0817379</v>
      </c>
      <c r="G21" s="112">
        <v>53.3333</v>
      </c>
      <c r="H21" s="8">
        <f t="shared" si="0"/>
        <v>-61</v>
      </c>
      <c r="I21" s="8" t="s">
        <v>265</v>
      </c>
      <c r="J21" s="27">
        <v>2477</v>
      </c>
      <c r="K21" s="27">
        <v>2414</v>
      </c>
      <c r="L21" s="27">
        <v>63</v>
      </c>
      <c r="M21" s="27">
        <v>-67</v>
      </c>
      <c r="N21" s="27">
        <v>-10</v>
      </c>
      <c r="O21" s="27">
        <v>0.049496</v>
      </c>
      <c r="P21" s="27">
        <v>0.269179</v>
      </c>
    </row>
    <row r="22" ht="18" customHeight="1" spans="1:16">
      <c r="A22" s="112">
        <v>2477</v>
      </c>
      <c r="B22" s="112">
        <v>2415</v>
      </c>
      <c r="C22" s="112">
        <v>62</v>
      </c>
      <c r="D22" s="113">
        <v>-67</v>
      </c>
      <c r="E22" s="112">
        <v>-7</v>
      </c>
      <c r="F22" s="112">
        <v>0.0868925</v>
      </c>
      <c r="G22" s="112">
        <v>53.5494</v>
      </c>
      <c r="H22" s="8">
        <f t="shared" si="0"/>
        <v>-60</v>
      </c>
      <c r="I22" s="8" t="s">
        <v>265</v>
      </c>
      <c r="J22" s="27">
        <v>2477</v>
      </c>
      <c r="K22" s="27">
        <v>2415</v>
      </c>
      <c r="L22" s="27">
        <v>62</v>
      </c>
      <c r="M22" s="27">
        <v>-67</v>
      </c>
      <c r="N22" s="27">
        <v>-10</v>
      </c>
      <c r="O22" s="27">
        <v>0.061808</v>
      </c>
      <c r="P22" s="27">
        <v>0.34965</v>
      </c>
    </row>
    <row r="23" ht="18" customHeight="1" spans="1:16">
      <c r="A23" s="112">
        <v>2477</v>
      </c>
      <c r="B23" s="112">
        <v>2416</v>
      </c>
      <c r="C23" s="112">
        <v>61</v>
      </c>
      <c r="D23" s="113">
        <v>-67</v>
      </c>
      <c r="E23" s="112">
        <v>-7</v>
      </c>
      <c r="F23" s="112">
        <v>0.0150957</v>
      </c>
      <c r="G23" s="112">
        <v>41.6988</v>
      </c>
      <c r="H23" s="8">
        <f t="shared" si="0"/>
        <v>-60</v>
      </c>
      <c r="I23" s="8" t="s">
        <v>265</v>
      </c>
      <c r="J23" s="27">
        <v>2477</v>
      </c>
      <c r="K23" s="27">
        <v>2416</v>
      </c>
      <c r="L23" s="27">
        <v>61</v>
      </c>
      <c r="M23" s="27">
        <v>-67</v>
      </c>
      <c r="N23" s="27">
        <v>-10</v>
      </c>
      <c r="O23" s="27">
        <v>0.074619</v>
      </c>
      <c r="P23" s="27">
        <v>0.416667</v>
      </c>
    </row>
    <row r="24" ht="18" customHeight="1" spans="1:16">
      <c r="A24" s="112">
        <v>2477</v>
      </c>
      <c r="B24" s="112">
        <v>2417</v>
      </c>
      <c r="C24" s="112">
        <v>60</v>
      </c>
      <c r="D24" s="113">
        <v>-67</v>
      </c>
      <c r="E24" s="112">
        <v>-7</v>
      </c>
      <c r="F24" s="112">
        <v>0.0618557</v>
      </c>
      <c r="G24" s="112">
        <v>51.7628</v>
      </c>
      <c r="H24" s="8">
        <f t="shared" si="0"/>
        <v>-60</v>
      </c>
      <c r="I24" s="8" t="s">
        <v>265</v>
      </c>
      <c r="J24" s="27">
        <v>2477</v>
      </c>
      <c r="K24" s="27">
        <v>2417</v>
      </c>
      <c r="L24" s="27">
        <v>60</v>
      </c>
      <c r="M24" s="27">
        <v>-67</v>
      </c>
      <c r="N24" s="27">
        <v>-10</v>
      </c>
      <c r="O24" s="27">
        <v>0.085618</v>
      </c>
      <c r="P24" s="27">
        <v>0.389733</v>
      </c>
    </row>
    <row r="25" ht="18" customHeight="1" spans="1:16">
      <c r="A25" s="112">
        <v>2477</v>
      </c>
      <c r="B25" s="112">
        <v>2418</v>
      </c>
      <c r="C25" s="112">
        <v>59</v>
      </c>
      <c r="D25" s="113">
        <v>-67</v>
      </c>
      <c r="E25" s="112">
        <v>-7</v>
      </c>
      <c r="F25" s="112">
        <v>0.0214777</v>
      </c>
      <c r="G25" s="112">
        <v>42.1154</v>
      </c>
      <c r="H25" s="8">
        <f t="shared" si="0"/>
        <v>-60</v>
      </c>
      <c r="I25" s="8" t="s">
        <v>265</v>
      </c>
      <c r="J25" s="27">
        <v>2477</v>
      </c>
      <c r="K25" s="27">
        <v>2418</v>
      </c>
      <c r="L25" s="27">
        <v>59</v>
      </c>
      <c r="M25" s="27">
        <v>-67</v>
      </c>
      <c r="N25" s="27">
        <v>-11</v>
      </c>
      <c r="O25" s="27">
        <v>0.048827</v>
      </c>
      <c r="P25" s="27">
        <v>0.076923</v>
      </c>
    </row>
    <row r="26" ht="18" customHeight="1" spans="1:16">
      <c r="A26" s="112">
        <v>2477</v>
      </c>
      <c r="B26" s="112">
        <v>2419</v>
      </c>
      <c r="C26" s="112">
        <v>58</v>
      </c>
      <c r="D26" s="113">
        <v>-67</v>
      </c>
      <c r="E26" s="112">
        <v>-8</v>
      </c>
      <c r="F26" s="112">
        <v>0.0298846</v>
      </c>
      <c r="G26" s="112">
        <v>41.6667</v>
      </c>
      <c r="H26" s="8">
        <f t="shared" si="0"/>
        <v>-59</v>
      </c>
      <c r="I26" s="8" t="s">
        <v>265</v>
      </c>
      <c r="J26" s="27">
        <v>2477</v>
      </c>
      <c r="K26" s="27">
        <v>2419</v>
      </c>
      <c r="L26" s="27">
        <v>58</v>
      </c>
      <c r="M26" s="27">
        <v>-67</v>
      </c>
      <c r="N26" s="27">
        <v>-11</v>
      </c>
      <c r="O26" s="27">
        <v>0.021516</v>
      </c>
      <c r="P26" s="27">
        <v>0</v>
      </c>
    </row>
    <row r="27" ht="18" customHeight="1" spans="1:16">
      <c r="A27" s="112">
        <v>2477</v>
      </c>
      <c r="B27" s="112">
        <v>2420</v>
      </c>
      <c r="C27" s="112">
        <v>57</v>
      </c>
      <c r="D27" s="113">
        <v>-67</v>
      </c>
      <c r="E27" s="112">
        <v>-7</v>
      </c>
      <c r="F27" s="112">
        <v>0.0199435</v>
      </c>
      <c r="G27" s="112">
        <v>45.1906</v>
      </c>
      <c r="H27" s="8">
        <f t="shared" si="0"/>
        <v>-60</v>
      </c>
      <c r="I27" s="8" t="s">
        <v>265</v>
      </c>
      <c r="J27" s="27">
        <v>2477</v>
      </c>
      <c r="K27" s="27">
        <v>2420</v>
      </c>
      <c r="L27" s="27">
        <v>57</v>
      </c>
      <c r="M27" s="27">
        <v>-67</v>
      </c>
      <c r="N27" s="27">
        <v>-11</v>
      </c>
      <c r="O27" s="27">
        <v>0.012099</v>
      </c>
      <c r="P27" s="27">
        <v>0</v>
      </c>
    </row>
    <row r="28" ht="18" customHeight="1" spans="1:16">
      <c r="A28" s="112">
        <v>2477</v>
      </c>
      <c r="B28" s="112">
        <v>2421</v>
      </c>
      <c r="C28" s="112">
        <v>56</v>
      </c>
      <c r="D28" s="113">
        <v>-67</v>
      </c>
      <c r="E28" s="112">
        <v>-7</v>
      </c>
      <c r="F28" s="112">
        <v>0.0180412</v>
      </c>
      <c r="G28" s="112">
        <v>45.0549</v>
      </c>
      <c r="H28" s="8">
        <f t="shared" si="0"/>
        <v>-60</v>
      </c>
      <c r="I28" s="8" t="s">
        <v>265</v>
      </c>
      <c r="J28" s="27">
        <v>2477</v>
      </c>
      <c r="K28" s="27">
        <v>2421</v>
      </c>
      <c r="L28" s="27">
        <v>56</v>
      </c>
      <c r="M28" s="27">
        <v>-67</v>
      </c>
      <c r="N28" s="27">
        <v>-11</v>
      </c>
      <c r="O28" s="27">
        <v>0.041049</v>
      </c>
      <c r="P28" s="27">
        <v>0.153965</v>
      </c>
    </row>
    <row r="29" ht="18" customHeight="1" spans="1:16">
      <c r="A29" s="112">
        <v>2477</v>
      </c>
      <c r="B29" s="112">
        <v>2422</v>
      </c>
      <c r="C29" s="112">
        <v>55</v>
      </c>
      <c r="D29" s="113">
        <v>-67</v>
      </c>
      <c r="E29" s="112">
        <v>-7</v>
      </c>
      <c r="F29" s="112">
        <v>0.0216004</v>
      </c>
      <c r="G29" s="112">
        <v>41.3255</v>
      </c>
      <c r="H29" s="8">
        <f t="shared" si="0"/>
        <v>-60</v>
      </c>
      <c r="I29" s="8" t="s">
        <v>265</v>
      </c>
      <c r="J29" s="27">
        <v>2477</v>
      </c>
      <c r="K29" s="27">
        <v>2422</v>
      </c>
      <c r="L29" s="27">
        <v>55</v>
      </c>
      <c r="M29" s="27">
        <v>-67</v>
      </c>
      <c r="N29" s="27">
        <v>-11</v>
      </c>
      <c r="O29" s="27">
        <v>0.084993</v>
      </c>
      <c r="P29" s="27">
        <v>0.429992</v>
      </c>
    </row>
    <row r="30" ht="18" customHeight="1" spans="1:16">
      <c r="A30" s="112">
        <v>2477</v>
      </c>
      <c r="B30" s="112">
        <v>2423</v>
      </c>
      <c r="C30" s="112">
        <v>54</v>
      </c>
      <c r="D30" s="113">
        <v>-67</v>
      </c>
      <c r="E30" s="112">
        <v>-7</v>
      </c>
      <c r="F30" s="112">
        <v>0.0705081</v>
      </c>
      <c r="G30" s="112">
        <v>51.9873</v>
      </c>
      <c r="H30" s="8">
        <f t="shared" si="0"/>
        <v>-60</v>
      </c>
      <c r="I30" s="8" t="s">
        <v>265</v>
      </c>
      <c r="J30" s="27">
        <v>2477</v>
      </c>
      <c r="K30" s="27">
        <v>2423</v>
      </c>
      <c r="L30" s="27">
        <v>54</v>
      </c>
      <c r="M30" s="27">
        <v>-67</v>
      </c>
      <c r="N30" s="27">
        <v>-12</v>
      </c>
      <c r="O30" s="27">
        <v>0.007811</v>
      </c>
      <c r="P30" s="27">
        <v>0</v>
      </c>
    </row>
    <row r="31" ht="18" customHeight="1" spans="1:16">
      <c r="A31" s="112">
        <v>2477</v>
      </c>
      <c r="B31" s="112">
        <v>2424</v>
      </c>
      <c r="C31" s="112">
        <v>53</v>
      </c>
      <c r="D31" s="113">
        <v>-67</v>
      </c>
      <c r="E31" s="112">
        <v>-7</v>
      </c>
      <c r="F31" s="112">
        <v>0.0314188</v>
      </c>
      <c r="G31" s="112">
        <v>44.4444</v>
      </c>
      <c r="H31" s="8">
        <f t="shared" si="0"/>
        <v>-60</v>
      </c>
      <c r="I31" s="8" t="s">
        <v>265</v>
      </c>
      <c r="J31" s="27">
        <v>2477</v>
      </c>
      <c r="K31" s="27">
        <v>2424</v>
      </c>
      <c r="L31" s="27">
        <v>53</v>
      </c>
      <c r="M31" s="27">
        <v>-67</v>
      </c>
      <c r="N31" s="27">
        <v>-11</v>
      </c>
      <c r="O31" s="27">
        <v>0.084618</v>
      </c>
      <c r="P31" s="27">
        <v>0.403172</v>
      </c>
    </row>
    <row r="32" ht="18" customHeight="1" spans="1:16">
      <c r="A32" s="112">
        <v>2477</v>
      </c>
      <c r="B32" s="112">
        <v>2425</v>
      </c>
      <c r="C32" s="112">
        <v>52</v>
      </c>
      <c r="D32" s="113">
        <v>-67</v>
      </c>
      <c r="E32" s="112">
        <v>-7</v>
      </c>
      <c r="F32" s="112">
        <v>0.0297005</v>
      </c>
      <c r="G32" s="112">
        <v>45.3888</v>
      </c>
      <c r="H32" s="8">
        <f t="shared" si="0"/>
        <v>-60</v>
      </c>
      <c r="I32" s="8" t="s">
        <v>265</v>
      </c>
      <c r="J32" s="27">
        <v>2477</v>
      </c>
      <c r="K32" s="27">
        <v>2425</v>
      </c>
      <c r="L32" s="27">
        <v>52</v>
      </c>
      <c r="M32" s="27">
        <v>-67</v>
      </c>
      <c r="N32" s="27">
        <v>-11</v>
      </c>
      <c r="O32" s="27">
        <v>0.049259</v>
      </c>
      <c r="P32" s="27">
        <v>0.230769</v>
      </c>
    </row>
    <row r="33" ht="18" customHeight="1" spans="1:16">
      <c r="A33" s="112">
        <v>2477</v>
      </c>
      <c r="B33" s="112">
        <v>2426</v>
      </c>
      <c r="C33" s="112">
        <v>51</v>
      </c>
      <c r="D33" s="113">
        <v>-67</v>
      </c>
      <c r="E33" s="112">
        <v>-8</v>
      </c>
      <c r="F33" s="112">
        <v>0.0298233</v>
      </c>
      <c r="G33" s="112">
        <v>43.1818</v>
      </c>
      <c r="H33" s="8">
        <f t="shared" si="0"/>
        <v>-59</v>
      </c>
      <c r="I33" s="8" t="s">
        <v>265</v>
      </c>
      <c r="J33" s="27">
        <v>2477</v>
      </c>
      <c r="K33" s="27">
        <v>2426</v>
      </c>
      <c r="L33" s="27">
        <v>51</v>
      </c>
      <c r="M33" s="27">
        <v>-67</v>
      </c>
      <c r="N33" s="27">
        <v>-11</v>
      </c>
      <c r="O33" s="27">
        <v>0.042152</v>
      </c>
      <c r="P33" s="27">
        <v>0</v>
      </c>
    </row>
    <row r="34" ht="18" customHeight="1" spans="1:16">
      <c r="A34" s="112">
        <v>2477</v>
      </c>
      <c r="B34" s="112">
        <v>2427</v>
      </c>
      <c r="C34" s="112">
        <v>50</v>
      </c>
      <c r="D34" s="113">
        <v>-67</v>
      </c>
      <c r="E34" s="112">
        <v>-14</v>
      </c>
      <c r="F34" s="112">
        <v>0.00810015</v>
      </c>
      <c r="G34" s="112">
        <v>16.4345</v>
      </c>
      <c r="H34" s="8">
        <f t="shared" si="0"/>
        <v>-53</v>
      </c>
      <c r="I34" s="8" t="s">
        <v>265</v>
      </c>
      <c r="J34" s="27">
        <v>2477</v>
      </c>
      <c r="K34" s="27">
        <v>2427</v>
      </c>
      <c r="L34" s="27">
        <v>50</v>
      </c>
      <c r="M34" s="27">
        <v>-67</v>
      </c>
      <c r="N34" s="27">
        <v>-11</v>
      </c>
      <c r="O34" s="27">
        <v>0.033299</v>
      </c>
      <c r="P34" s="27">
        <v>0.07728</v>
      </c>
    </row>
    <row r="35" ht="18" customHeight="1" spans="1:16">
      <c r="A35" s="112">
        <v>2477</v>
      </c>
      <c r="B35" s="112">
        <v>2428</v>
      </c>
      <c r="C35" s="112">
        <v>49</v>
      </c>
      <c r="D35" s="113">
        <v>-67</v>
      </c>
      <c r="E35" s="112">
        <v>-8</v>
      </c>
      <c r="F35" s="112">
        <v>0.0771355</v>
      </c>
      <c r="G35" s="112">
        <v>50.5766</v>
      </c>
      <c r="H35" s="8">
        <f t="shared" si="0"/>
        <v>-59</v>
      </c>
      <c r="I35" s="8" t="s">
        <v>265</v>
      </c>
      <c r="J35" s="27">
        <v>2477</v>
      </c>
      <c r="K35" s="27">
        <v>2428</v>
      </c>
      <c r="L35" s="27">
        <v>49</v>
      </c>
      <c r="M35" s="27">
        <v>-67</v>
      </c>
      <c r="N35" s="27">
        <v>-11</v>
      </c>
      <c r="O35" s="27">
        <v>0.043939</v>
      </c>
      <c r="P35" s="27">
        <v>0.230947</v>
      </c>
    </row>
    <row r="36" ht="18" customHeight="1" spans="1:16">
      <c r="A36" s="112">
        <v>2477</v>
      </c>
      <c r="B36" s="112">
        <v>2429</v>
      </c>
      <c r="C36" s="112">
        <v>48</v>
      </c>
      <c r="D36" s="113">
        <v>-67</v>
      </c>
      <c r="E36" s="112">
        <v>-20</v>
      </c>
      <c r="F36" s="112">
        <v>0.0307437</v>
      </c>
      <c r="G36" s="112">
        <v>31.3501</v>
      </c>
      <c r="H36" s="8">
        <f t="shared" si="0"/>
        <v>-47</v>
      </c>
      <c r="I36" s="8" t="s">
        <v>265</v>
      </c>
      <c r="J36" s="27">
        <v>2477</v>
      </c>
      <c r="K36" s="27">
        <v>2429</v>
      </c>
      <c r="L36" s="27">
        <v>48</v>
      </c>
      <c r="M36" s="27">
        <v>-67</v>
      </c>
      <c r="N36" s="27">
        <v>-12</v>
      </c>
      <c r="O36" s="27">
        <v>0.047621</v>
      </c>
      <c r="P36" s="27">
        <v>0.175131</v>
      </c>
    </row>
    <row r="37" ht="18" customHeight="1" spans="1:16">
      <c r="A37" s="112">
        <v>2477</v>
      </c>
      <c r="B37" s="112">
        <v>2430</v>
      </c>
      <c r="C37" s="112">
        <v>47</v>
      </c>
      <c r="D37" s="113">
        <v>-67</v>
      </c>
      <c r="E37" s="112">
        <v>-7</v>
      </c>
      <c r="F37" s="112">
        <v>0.0433235</v>
      </c>
      <c r="G37" s="112">
        <v>50.5747</v>
      </c>
      <c r="H37" s="8">
        <f t="shared" si="0"/>
        <v>-60</v>
      </c>
      <c r="I37" s="8" t="s">
        <v>265</v>
      </c>
      <c r="J37" s="27">
        <v>2477</v>
      </c>
      <c r="K37" s="27">
        <v>2430</v>
      </c>
      <c r="L37" s="27">
        <v>47</v>
      </c>
      <c r="M37" s="27">
        <v>-67</v>
      </c>
      <c r="N37" s="27">
        <v>-11</v>
      </c>
      <c r="O37" s="27">
        <v>0.053558</v>
      </c>
      <c r="P37" s="27">
        <v>0.309514</v>
      </c>
    </row>
    <row r="38" ht="18" customHeight="1" spans="1:16">
      <c r="A38" s="112">
        <v>2477</v>
      </c>
      <c r="B38" s="112">
        <v>2431</v>
      </c>
      <c r="C38" s="112">
        <v>46</v>
      </c>
      <c r="D38" s="113">
        <v>-67</v>
      </c>
      <c r="E38" s="112">
        <v>-8</v>
      </c>
      <c r="F38" s="112">
        <v>0.024055</v>
      </c>
      <c r="G38" s="112">
        <v>46.6192</v>
      </c>
      <c r="H38" s="8">
        <f t="shared" si="0"/>
        <v>-59</v>
      </c>
      <c r="I38" s="8" t="s">
        <v>265</v>
      </c>
      <c r="J38" s="27">
        <v>2477</v>
      </c>
      <c r="K38" s="27">
        <v>2431</v>
      </c>
      <c r="L38" s="27">
        <v>46</v>
      </c>
      <c r="M38" s="27">
        <v>-67</v>
      </c>
      <c r="N38" s="27">
        <v>-11</v>
      </c>
      <c r="O38" s="27">
        <v>0.087868</v>
      </c>
      <c r="P38" s="27">
        <v>0.322928</v>
      </c>
    </row>
    <row r="39" ht="18" customHeight="1" spans="1:16">
      <c r="A39" s="112">
        <v>2477</v>
      </c>
      <c r="B39" s="112">
        <v>2432</v>
      </c>
      <c r="C39" s="112">
        <v>45</v>
      </c>
      <c r="D39" s="113">
        <v>-67</v>
      </c>
      <c r="E39" s="112">
        <v>-7</v>
      </c>
      <c r="F39" s="112">
        <v>0.0356529</v>
      </c>
      <c r="G39" s="112">
        <v>48.542</v>
      </c>
      <c r="H39" s="8">
        <f t="shared" si="0"/>
        <v>-60</v>
      </c>
      <c r="I39" s="8" t="s">
        <v>265</v>
      </c>
      <c r="J39" s="27">
        <v>2477</v>
      </c>
      <c r="K39" s="27">
        <v>2432</v>
      </c>
      <c r="L39" s="27">
        <v>45</v>
      </c>
      <c r="M39" s="27">
        <v>-67</v>
      </c>
      <c r="N39" s="27">
        <v>-12</v>
      </c>
      <c r="O39" s="27">
        <v>0.00963</v>
      </c>
      <c r="P39" s="27">
        <v>0.076982</v>
      </c>
    </row>
    <row r="40" ht="18" customHeight="1" spans="1:16">
      <c r="A40" s="112">
        <v>2477</v>
      </c>
      <c r="B40" s="112">
        <v>2433</v>
      </c>
      <c r="C40" s="112">
        <v>44</v>
      </c>
      <c r="D40" s="113">
        <v>-67</v>
      </c>
      <c r="E40" s="112">
        <v>-7</v>
      </c>
      <c r="F40" s="112">
        <v>0.0398257</v>
      </c>
      <c r="G40" s="112">
        <v>47.9239</v>
      </c>
      <c r="H40" s="8">
        <f t="shared" si="0"/>
        <v>-60</v>
      </c>
      <c r="I40" s="8" t="s">
        <v>265</v>
      </c>
      <c r="J40" s="27">
        <v>2477</v>
      </c>
      <c r="K40" s="27">
        <v>2433</v>
      </c>
      <c r="L40" s="27">
        <v>44</v>
      </c>
      <c r="M40" s="27">
        <v>-67</v>
      </c>
      <c r="N40" s="27">
        <v>-12</v>
      </c>
      <c r="O40" s="27">
        <v>0.00891</v>
      </c>
      <c r="P40" s="27">
        <v>0.076923</v>
      </c>
    </row>
    <row r="41" ht="18" customHeight="1" spans="1:16">
      <c r="A41" s="112">
        <v>2477</v>
      </c>
      <c r="B41" s="112">
        <v>2434</v>
      </c>
      <c r="C41" s="112">
        <v>43</v>
      </c>
      <c r="D41" s="113">
        <v>-67</v>
      </c>
      <c r="E41" s="112">
        <v>-7</v>
      </c>
      <c r="F41" s="112">
        <v>0.0343643</v>
      </c>
      <c r="G41" s="112">
        <v>46.0573</v>
      </c>
      <c r="H41" s="8">
        <f t="shared" si="0"/>
        <v>-60</v>
      </c>
      <c r="I41" s="8" t="s">
        <v>265</v>
      </c>
      <c r="J41" s="27">
        <v>2477</v>
      </c>
      <c r="K41" s="27">
        <v>2434</v>
      </c>
      <c r="L41" s="27">
        <v>43</v>
      </c>
      <c r="M41" s="27">
        <v>-67</v>
      </c>
      <c r="N41" s="27">
        <v>-12</v>
      </c>
      <c r="O41" s="27">
        <v>0.084868</v>
      </c>
      <c r="P41" s="27">
        <v>0.242392</v>
      </c>
    </row>
    <row r="42" ht="18" customHeight="1" spans="1:16">
      <c r="A42" s="112">
        <v>2477</v>
      </c>
      <c r="B42" s="112">
        <v>2435</v>
      </c>
      <c r="C42" s="112">
        <v>42</v>
      </c>
      <c r="D42" s="113">
        <v>-67</v>
      </c>
      <c r="E42" s="112">
        <v>-8</v>
      </c>
      <c r="F42" s="112">
        <v>0.0280437</v>
      </c>
      <c r="G42" s="112">
        <v>46.3458</v>
      </c>
      <c r="H42" s="8">
        <f t="shared" si="0"/>
        <v>-59</v>
      </c>
      <c r="I42" s="8" t="s">
        <v>265</v>
      </c>
      <c r="J42" s="27">
        <v>2477</v>
      </c>
      <c r="K42" s="27">
        <v>2435</v>
      </c>
      <c r="L42" s="27">
        <v>42</v>
      </c>
      <c r="M42" s="27">
        <v>-67</v>
      </c>
      <c r="N42" s="27">
        <v>-11</v>
      </c>
      <c r="O42" s="27">
        <v>0.058183</v>
      </c>
      <c r="P42" s="27">
        <v>0.255754</v>
      </c>
    </row>
    <row r="43" ht="18" customHeight="1" spans="1:16">
      <c r="A43" s="112">
        <v>2477</v>
      </c>
      <c r="B43" s="112">
        <v>2436</v>
      </c>
      <c r="C43" s="112">
        <v>41</v>
      </c>
      <c r="D43" s="113">
        <v>-67</v>
      </c>
      <c r="E43" s="112">
        <v>-7</v>
      </c>
      <c r="F43" s="112">
        <v>0.0416667</v>
      </c>
      <c r="G43" s="112">
        <v>48.8927</v>
      </c>
      <c r="H43" s="8">
        <f t="shared" si="0"/>
        <v>-60</v>
      </c>
      <c r="I43" s="8" t="s">
        <v>265</v>
      </c>
      <c r="J43" s="27">
        <v>2477</v>
      </c>
      <c r="K43" s="27">
        <v>2436</v>
      </c>
      <c r="L43" s="27">
        <v>41</v>
      </c>
      <c r="M43" s="27">
        <v>-67</v>
      </c>
      <c r="N43" s="27">
        <v>-11</v>
      </c>
      <c r="O43" s="27">
        <v>0.050746</v>
      </c>
      <c r="P43" s="27">
        <v>0.188552</v>
      </c>
    </row>
    <row r="44" ht="18" customHeight="1" spans="1:16">
      <c r="A44" s="112">
        <v>2477</v>
      </c>
      <c r="B44" s="112">
        <v>2437</v>
      </c>
      <c r="C44" s="112">
        <v>40</v>
      </c>
      <c r="D44" s="113">
        <v>-67</v>
      </c>
      <c r="E44" s="112">
        <v>-7</v>
      </c>
      <c r="F44" s="112">
        <v>0.0409916</v>
      </c>
      <c r="G44" s="112">
        <v>50.9772</v>
      </c>
      <c r="H44" s="8">
        <f t="shared" si="0"/>
        <v>-60</v>
      </c>
      <c r="I44" s="8" t="s">
        <v>265</v>
      </c>
      <c r="J44" s="27">
        <v>2477</v>
      </c>
      <c r="K44" s="27">
        <v>2437</v>
      </c>
      <c r="L44" s="27">
        <v>40</v>
      </c>
      <c r="M44" s="27">
        <v>-67</v>
      </c>
      <c r="N44" s="27">
        <v>-11</v>
      </c>
      <c r="O44" s="27">
        <v>0.05812</v>
      </c>
      <c r="P44" s="27">
        <v>0.309348</v>
      </c>
    </row>
    <row r="45" ht="18" customHeight="1" spans="1:16">
      <c r="A45" s="112">
        <v>2477</v>
      </c>
      <c r="B45" s="112">
        <v>2438</v>
      </c>
      <c r="C45" s="112">
        <v>39</v>
      </c>
      <c r="D45" s="113">
        <v>-67</v>
      </c>
      <c r="E45" s="112">
        <v>-5</v>
      </c>
      <c r="F45" s="112">
        <v>0.0157707</v>
      </c>
      <c r="G45" s="112">
        <v>43.4211</v>
      </c>
      <c r="H45" s="8">
        <f t="shared" si="0"/>
        <v>-62</v>
      </c>
      <c r="I45" s="8" t="s">
        <v>265</v>
      </c>
      <c r="J45" s="27">
        <v>2477</v>
      </c>
      <c r="K45" s="27">
        <v>2438</v>
      </c>
      <c r="L45" s="27">
        <v>39</v>
      </c>
      <c r="M45" s="27">
        <v>-67</v>
      </c>
      <c r="N45" s="27">
        <v>-11</v>
      </c>
      <c r="O45" s="27">
        <v>0.086306</v>
      </c>
      <c r="P45" s="27">
        <v>0.363098</v>
      </c>
    </row>
    <row r="46" ht="18" customHeight="1" spans="1:16">
      <c r="A46" s="112">
        <v>2477</v>
      </c>
      <c r="B46" s="112">
        <v>2439</v>
      </c>
      <c r="C46" s="112">
        <v>38</v>
      </c>
      <c r="D46" s="113">
        <v>-67</v>
      </c>
      <c r="E46" s="112">
        <v>-5</v>
      </c>
      <c r="F46" s="112">
        <v>0.0255277</v>
      </c>
      <c r="G46" s="112">
        <v>41.5534</v>
      </c>
      <c r="H46" s="8">
        <f t="shared" si="0"/>
        <v>-62</v>
      </c>
      <c r="I46" s="8" t="s">
        <v>265</v>
      </c>
      <c r="J46" s="27">
        <v>2477</v>
      </c>
      <c r="K46" s="27">
        <v>2439</v>
      </c>
      <c r="L46" s="27">
        <v>38</v>
      </c>
      <c r="M46" s="27">
        <v>-67</v>
      </c>
      <c r="N46" s="27">
        <v>-12</v>
      </c>
      <c r="O46" s="27">
        <v>0.02365</v>
      </c>
      <c r="P46" s="27">
        <v>0.07734</v>
      </c>
    </row>
    <row r="47" ht="18" customHeight="1" spans="1:16">
      <c r="A47" s="112">
        <v>2477</v>
      </c>
      <c r="B47" s="112">
        <v>2440</v>
      </c>
      <c r="C47" s="112">
        <v>37</v>
      </c>
      <c r="D47" s="113">
        <v>-67</v>
      </c>
      <c r="E47" s="112">
        <v>-4</v>
      </c>
      <c r="F47" s="112">
        <v>0.0919244</v>
      </c>
      <c r="G47" s="112">
        <v>53.0421</v>
      </c>
      <c r="H47" s="8">
        <f t="shared" si="0"/>
        <v>-63</v>
      </c>
      <c r="I47" s="8" t="s">
        <v>265</v>
      </c>
      <c r="J47" s="27">
        <v>2477</v>
      </c>
      <c r="K47" s="27">
        <v>2440</v>
      </c>
      <c r="L47" s="27">
        <v>37</v>
      </c>
      <c r="M47" s="27">
        <v>-67</v>
      </c>
      <c r="N47" s="27">
        <v>-12</v>
      </c>
      <c r="O47" s="27">
        <v>0.034758</v>
      </c>
      <c r="P47" s="27">
        <v>0.154559</v>
      </c>
    </row>
    <row r="48" ht="18" customHeight="1" spans="1:16">
      <c r="A48" s="112">
        <v>2477</v>
      </c>
      <c r="B48" s="112">
        <v>2441</v>
      </c>
      <c r="C48" s="112">
        <v>36</v>
      </c>
      <c r="D48" s="113">
        <v>-67</v>
      </c>
      <c r="E48" s="112">
        <v>-6</v>
      </c>
      <c r="F48" s="112">
        <v>0.0357143</v>
      </c>
      <c r="G48" s="112">
        <v>44.4649</v>
      </c>
      <c r="H48" s="8">
        <f t="shared" si="0"/>
        <v>-61</v>
      </c>
      <c r="I48" s="8" t="s">
        <v>265</v>
      </c>
      <c r="J48" s="27">
        <v>2477</v>
      </c>
      <c r="K48" s="27">
        <v>2441</v>
      </c>
      <c r="L48" s="27">
        <v>36</v>
      </c>
      <c r="M48" s="27">
        <v>-67</v>
      </c>
      <c r="N48" s="27">
        <v>-12</v>
      </c>
      <c r="O48" s="27">
        <v>0.040119</v>
      </c>
      <c r="P48" s="27">
        <v>0</v>
      </c>
    </row>
    <row r="49" ht="18" customHeight="1" spans="1:16">
      <c r="A49" s="112">
        <v>2477</v>
      </c>
      <c r="B49" s="112">
        <v>2442</v>
      </c>
      <c r="C49" s="112">
        <v>35</v>
      </c>
      <c r="D49" s="113">
        <v>-67</v>
      </c>
      <c r="E49" s="112">
        <v>-5</v>
      </c>
      <c r="F49" s="112">
        <v>0.0259573</v>
      </c>
      <c r="G49" s="112">
        <v>37.6299</v>
      </c>
      <c r="H49" s="8">
        <f t="shared" si="0"/>
        <v>-62</v>
      </c>
      <c r="I49" s="8" t="s">
        <v>265</v>
      </c>
      <c r="J49" s="27">
        <v>2477</v>
      </c>
      <c r="K49" s="27">
        <v>2442</v>
      </c>
      <c r="L49" s="27">
        <v>35</v>
      </c>
      <c r="M49" s="27">
        <v>-67</v>
      </c>
      <c r="N49" s="27">
        <v>-12</v>
      </c>
      <c r="O49" s="27">
        <v>0.060995</v>
      </c>
      <c r="P49" s="27">
        <v>0.242392</v>
      </c>
    </row>
    <row r="50" ht="18" customHeight="1" spans="1:16">
      <c r="A50" s="112">
        <v>2477</v>
      </c>
      <c r="B50" s="112">
        <v>2443</v>
      </c>
      <c r="C50" s="112">
        <v>34</v>
      </c>
      <c r="D50" s="113">
        <v>-67</v>
      </c>
      <c r="E50" s="112">
        <v>-15</v>
      </c>
      <c r="F50" s="112">
        <v>0.0669489</v>
      </c>
      <c r="G50" s="112">
        <v>29.7424</v>
      </c>
      <c r="H50" s="8">
        <f t="shared" si="0"/>
        <v>-52</v>
      </c>
      <c r="I50" s="8" t="s">
        <v>265</v>
      </c>
      <c r="J50" s="27">
        <v>2477</v>
      </c>
      <c r="K50" s="27">
        <v>2443</v>
      </c>
      <c r="L50" s="27">
        <v>34</v>
      </c>
      <c r="M50" s="27">
        <v>-67</v>
      </c>
      <c r="N50" s="27">
        <v>-21</v>
      </c>
      <c r="O50" s="27">
        <v>0.012493</v>
      </c>
      <c r="P50" s="27">
        <v>0</v>
      </c>
    </row>
    <row r="51" ht="18" customHeight="1" spans="1:16">
      <c r="A51" s="112">
        <v>2477</v>
      </c>
      <c r="B51" s="112">
        <v>2444</v>
      </c>
      <c r="C51" s="112">
        <v>33</v>
      </c>
      <c r="D51" s="113">
        <v>-67</v>
      </c>
      <c r="E51" s="112">
        <v>-6</v>
      </c>
      <c r="F51" s="112">
        <v>0.031296</v>
      </c>
      <c r="G51" s="112">
        <v>42.4474</v>
      </c>
      <c r="H51" s="8">
        <f t="shared" si="0"/>
        <v>-61</v>
      </c>
      <c r="I51" s="8" t="s">
        <v>265</v>
      </c>
      <c r="J51" s="27">
        <v>2477</v>
      </c>
      <c r="K51" s="27">
        <v>2444</v>
      </c>
      <c r="L51" s="27">
        <v>33</v>
      </c>
      <c r="M51" s="27">
        <v>-67</v>
      </c>
      <c r="N51" s="27">
        <v>-13</v>
      </c>
      <c r="O51" s="27">
        <v>0.056183</v>
      </c>
      <c r="P51" s="27">
        <v>0.134807</v>
      </c>
    </row>
    <row r="52" ht="18" customHeight="1" spans="1:16">
      <c r="A52" s="112">
        <v>2477</v>
      </c>
      <c r="B52" s="112">
        <v>2445</v>
      </c>
      <c r="C52" s="112">
        <v>32</v>
      </c>
      <c r="D52" s="113">
        <v>-67</v>
      </c>
      <c r="E52" s="112">
        <v>-5</v>
      </c>
      <c r="F52" s="112">
        <v>0.0282278</v>
      </c>
      <c r="G52" s="112">
        <v>40.7115</v>
      </c>
      <c r="H52" s="8">
        <f t="shared" si="0"/>
        <v>-62</v>
      </c>
      <c r="I52" s="8" t="s">
        <v>265</v>
      </c>
      <c r="J52" s="27">
        <v>2477</v>
      </c>
      <c r="K52" s="27">
        <v>2445</v>
      </c>
      <c r="L52" s="27">
        <v>32</v>
      </c>
      <c r="M52" s="27">
        <v>-67</v>
      </c>
      <c r="N52" s="27">
        <v>-12</v>
      </c>
      <c r="O52" s="27">
        <v>0.06437</v>
      </c>
      <c r="P52" s="27">
        <v>0.215459</v>
      </c>
    </row>
    <row r="53" ht="18" customHeight="1" spans="1:16">
      <c r="A53" s="112">
        <v>2477</v>
      </c>
      <c r="B53" s="112">
        <v>2446</v>
      </c>
      <c r="C53" s="112">
        <v>31</v>
      </c>
      <c r="D53" s="113">
        <v>-67</v>
      </c>
      <c r="E53" s="112">
        <v>-5</v>
      </c>
      <c r="F53" s="112">
        <v>0.0501964</v>
      </c>
      <c r="G53" s="112">
        <v>52.5237</v>
      </c>
      <c r="H53" s="8">
        <f t="shared" si="0"/>
        <v>-62</v>
      </c>
      <c r="I53" s="8" t="s">
        <v>265</v>
      </c>
      <c r="J53" s="27">
        <v>2477</v>
      </c>
      <c r="K53" s="27">
        <v>2446</v>
      </c>
      <c r="L53" s="27">
        <v>31</v>
      </c>
      <c r="M53" s="27">
        <v>-67</v>
      </c>
      <c r="N53" s="27">
        <v>-12</v>
      </c>
      <c r="O53" s="27">
        <v>0.085993</v>
      </c>
      <c r="P53" s="27">
        <v>0.403226</v>
      </c>
    </row>
    <row r="54" ht="18" customHeight="1" spans="1:16">
      <c r="A54" s="112">
        <v>2477</v>
      </c>
      <c r="B54" s="112">
        <v>2447</v>
      </c>
      <c r="C54" s="112">
        <v>30</v>
      </c>
      <c r="D54" s="113">
        <v>-67</v>
      </c>
      <c r="E54" s="112">
        <v>-8</v>
      </c>
      <c r="F54" s="112">
        <v>0.0184094</v>
      </c>
      <c r="G54" s="112">
        <v>39.3939</v>
      </c>
      <c r="H54" s="8">
        <f t="shared" si="0"/>
        <v>-59</v>
      </c>
      <c r="I54" s="8" t="s">
        <v>265</v>
      </c>
      <c r="J54" s="27">
        <v>2477</v>
      </c>
      <c r="K54" s="27">
        <v>2447</v>
      </c>
      <c r="L54" s="27">
        <v>30</v>
      </c>
      <c r="M54" s="27">
        <v>-67</v>
      </c>
      <c r="N54" s="27">
        <v>-13</v>
      </c>
      <c r="O54" s="27">
        <v>0.024782</v>
      </c>
      <c r="P54" s="27">
        <v>0</v>
      </c>
    </row>
    <row r="55" ht="18" customHeight="1" spans="1:16">
      <c r="A55" s="112">
        <v>2477</v>
      </c>
      <c r="B55" s="112">
        <v>2448</v>
      </c>
      <c r="C55" s="112">
        <v>29</v>
      </c>
      <c r="D55" s="113">
        <v>-67</v>
      </c>
      <c r="E55" s="112">
        <v>-6</v>
      </c>
      <c r="F55" s="112">
        <v>0.0168139</v>
      </c>
      <c r="G55" s="112">
        <v>44.8529</v>
      </c>
      <c r="H55" s="8">
        <f t="shared" si="0"/>
        <v>-61</v>
      </c>
      <c r="I55" s="8" t="s">
        <v>265</v>
      </c>
      <c r="J55" s="27">
        <v>2477</v>
      </c>
      <c r="K55" s="27">
        <v>2448</v>
      </c>
      <c r="L55" s="27">
        <v>29</v>
      </c>
      <c r="M55" s="27">
        <v>-67</v>
      </c>
      <c r="N55" s="27">
        <v>-13</v>
      </c>
      <c r="O55" s="27">
        <v>0.037295</v>
      </c>
      <c r="P55" s="27">
        <v>0.538876</v>
      </c>
    </row>
    <row r="56" ht="18" customHeight="1" spans="1:16">
      <c r="A56" s="112">
        <v>2477</v>
      </c>
      <c r="B56" s="112">
        <v>2449</v>
      </c>
      <c r="C56" s="112">
        <v>28</v>
      </c>
      <c r="D56" s="113">
        <v>-67</v>
      </c>
      <c r="E56" s="112">
        <v>-6</v>
      </c>
      <c r="F56" s="112">
        <v>0.0394575</v>
      </c>
      <c r="G56" s="112">
        <v>42.7481</v>
      </c>
      <c r="H56" s="8">
        <f t="shared" si="0"/>
        <v>-61</v>
      </c>
      <c r="I56" s="8" t="s">
        <v>265</v>
      </c>
      <c r="J56" s="27">
        <v>2477</v>
      </c>
      <c r="K56" s="27">
        <v>2449</v>
      </c>
      <c r="L56" s="27">
        <v>28</v>
      </c>
      <c r="M56" s="27">
        <v>-67</v>
      </c>
      <c r="N56" s="27">
        <v>-13</v>
      </c>
      <c r="O56" s="27">
        <v>0.05837</v>
      </c>
      <c r="P56" s="27">
        <v>0.242359</v>
      </c>
    </row>
    <row r="57" ht="18" customHeight="1" spans="1:16">
      <c r="A57" s="112">
        <v>2477</v>
      </c>
      <c r="B57" s="112">
        <v>2450</v>
      </c>
      <c r="C57" s="112">
        <v>27</v>
      </c>
      <c r="D57" s="113">
        <v>-67</v>
      </c>
      <c r="E57" s="112">
        <v>-7</v>
      </c>
      <c r="F57" s="112">
        <v>0.0197595</v>
      </c>
      <c r="G57" s="112">
        <v>43.8433</v>
      </c>
      <c r="H57" s="8">
        <f t="shared" si="0"/>
        <v>-60</v>
      </c>
      <c r="I57" s="8" t="s">
        <v>265</v>
      </c>
      <c r="J57" s="27">
        <v>2477</v>
      </c>
      <c r="K57" s="27">
        <v>2450</v>
      </c>
      <c r="L57" s="27">
        <v>27</v>
      </c>
      <c r="M57" s="27">
        <v>-67</v>
      </c>
      <c r="N57" s="27">
        <v>-13</v>
      </c>
      <c r="O57" s="27">
        <v>0.079806</v>
      </c>
      <c r="P57" s="27">
        <v>0.228895</v>
      </c>
    </row>
    <row r="58" ht="18" customHeight="1" spans="1:16">
      <c r="A58" s="112">
        <v>2477</v>
      </c>
      <c r="B58" s="112">
        <v>2451</v>
      </c>
      <c r="C58" s="112">
        <v>26</v>
      </c>
      <c r="D58" s="113">
        <v>-67</v>
      </c>
      <c r="E58" s="112">
        <v>-11</v>
      </c>
      <c r="F58" s="112">
        <v>0.0911267</v>
      </c>
      <c r="G58" s="112">
        <v>54.6269</v>
      </c>
      <c r="H58" s="8">
        <f t="shared" si="0"/>
        <v>-56</v>
      </c>
      <c r="I58" s="8" t="s">
        <v>265</v>
      </c>
      <c r="J58" s="27">
        <v>2477</v>
      </c>
      <c r="K58" s="27">
        <v>2451</v>
      </c>
      <c r="L58" s="27">
        <v>26</v>
      </c>
      <c r="M58" s="27">
        <v>-67</v>
      </c>
      <c r="N58" s="27">
        <v>-14</v>
      </c>
      <c r="O58" s="27">
        <v>0.033299</v>
      </c>
      <c r="P58" s="27">
        <v>0</v>
      </c>
    </row>
    <row r="59" ht="18" customHeight="1" spans="1:16">
      <c r="A59" s="112">
        <v>2477</v>
      </c>
      <c r="B59" s="112">
        <v>2452</v>
      </c>
      <c r="C59" s="112">
        <v>25</v>
      </c>
      <c r="D59" s="113">
        <v>-67</v>
      </c>
      <c r="E59" s="112">
        <v>-7</v>
      </c>
      <c r="F59" s="112">
        <v>0.0174889</v>
      </c>
      <c r="G59" s="112">
        <v>67.8667</v>
      </c>
      <c r="H59" s="8">
        <f t="shared" si="0"/>
        <v>-60</v>
      </c>
      <c r="I59" s="8" t="s">
        <v>265</v>
      </c>
      <c r="J59" s="27">
        <v>2477</v>
      </c>
      <c r="K59" s="27">
        <v>2452</v>
      </c>
      <c r="L59" s="27">
        <v>25</v>
      </c>
      <c r="M59" s="27">
        <v>-67</v>
      </c>
      <c r="N59" s="27">
        <v>-14</v>
      </c>
      <c r="O59" s="27">
        <v>0.05662</v>
      </c>
      <c r="P59" s="27">
        <v>0.269179</v>
      </c>
    </row>
    <row r="60" ht="18" customHeight="1" spans="1:16">
      <c r="A60" s="112">
        <v>2477</v>
      </c>
      <c r="B60" s="112">
        <v>2453</v>
      </c>
      <c r="C60" s="112">
        <v>24</v>
      </c>
      <c r="D60" s="113">
        <v>-67</v>
      </c>
      <c r="E60" s="112">
        <v>-16</v>
      </c>
      <c r="F60" s="112">
        <v>0.00153412</v>
      </c>
      <c r="G60" s="112">
        <v>13.0435</v>
      </c>
      <c r="H60" s="8">
        <f t="shared" si="0"/>
        <v>-51</v>
      </c>
      <c r="I60" s="8" t="s">
        <v>265</v>
      </c>
      <c r="J60" s="27">
        <v>2477</v>
      </c>
      <c r="K60" s="27">
        <v>2453</v>
      </c>
      <c r="L60" s="27">
        <v>24</v>
      </c>
      <c r="M60" s="27">
        <v>-67</v>
      </c>
      <c r="N60" s="27">
        <v>-15</v>
      </c>
      <c r="O60" s="27">
        <v>0.045685</v>
      </c>
      <c r="P60" s="27">
        <v>0.155159</v>
      </c>
    </row>
    <row r="61" ht="18" customHeight="1" spans="1:16">
      <c r="A61" s="112">
        <v>2477</v>
      </c>
      <c r="B61" s="112">
        <v>2454</v>
      </c>
      <c r="C61" s="112">
        <v>23</v>
      </c>
      <c r="D61" s="113">
        <v>-67</v>
      </c>
      <c r="E61" s="112">
        <v>-6</v>
      </c>
      <c r="F61" s="112">
        <v>0.083947</v>
      </c>
      <c r="G61" s="112">
        <v>59.3243</v>
      </c>
      <c r="H61" s="8">
        <f t="shared" si="0"/>
        <v>-61</v>
      </c>
      <c r="I61" s="8" t="s">
        <v>265</v>
      </c>
      <c r="J61" s="27">
        <v>2477</v>
      </c>
      <c r="K61" s="27">
        <v>2454</v>
      </c>
      <c r="L61" s="27">
        <v>23</v>
      </c>
      <c r="M61" s="27">
        <v>-67</v>
      </c>
      <c r="N61" s="27">
        <v>-14</v>
      </c>
      <c r="O61" s="27">
        <v>0.082931</v>
      </c>
      <c r="P61" s="27">
        <v>0.363098</v>
      </c>
    </row>
    <row r="62" ht="18" customHeight="1" spans="1:16">
      <c r="A62" s="112">
        <v>2477</v>
      </c>
      <c r="B62" s="112">
        <v>2455</v>
      </c>
      <c r="C62" s="112">
        <v>22</v>
      </c>
      <c r="D62" s="113">
        <v>-67</v>
      </c>
      <c r="E62" s="112">
        <v>-7</v>
      </c>
      <c r="F62" s="112">
        <v>0.0178571</v>
      </c>
      <c r="G62" s="112">
        <v>43.5272</v>
      </c>
      <c r="H62" s="8">
        <f t="shared" si="0"/>
        <v>-60</v>
      </c>
      <c r="I62" s="8" t="s">
        <v>265</v>
      </c>
      <c r="J62" s="27">
        <v>2477</v>
      </c>
      <c r="K62" s="27">
        <v>2455</v>
      </c>
      <c r="L62" s="27">
        <v>22</v>
      </c>
      <c r="M62" s="27">
        <v>-67</v>
      </c>
      <c r="N62" s="27">
        <v>-15</v>
      </c>
      <c r="O62" s="27">
        <v>0.035778</v>
      </c>
      <c r="P62" s="27">
        <v>0.07722</v>
      </c>
    </row>
    <row r="63" ht="18" customHeight="1" spans="1:16">
      <c r="A63" s="112">
        <v>2477</v>
      </c>
      <c r="B63" s="112">
        <v>2456</v>
      </c>
      <c r="C63" s="112">
        <v>21</v>
      </c>
      <c r="D63" s="113">
        <v>-67</v>
      </c>
      <c r="E63" s="112">
        <v>-7</v>
      </c>
      <c r="F63" s="112">
        <v>0.0708149</v>
      </c>
      <c r="G63" s="112">
        <v>54.858</v>
      </c>
      <c r="H63" s="8">
        <f t="shared" si="0"/>
        <v>-60</v>
      </c>
      <c r="I63" s="8" t="s">
        <v>265</v>
      </c>
      <c r="J63" s="27">
        <v>2477</v>
      </c>
      <c r="K63" s="27">
        <v>2456</v>
      </c>
      <c r="L63" s="27">
        <v>21</v>
      </c>
      <c r="M63" s="27">
        <v>-67</v>
      </c>
      <c r="N63" s="27">
        <v>-15</v>
      </c>
      <c r="O63" s="27">
        <v>0.066432</v>
      </c>
      <c r="P63" s="27">
        <v>0.336293</v>
      </c>
    </row>
    <row r="64" ht="18" customHeight="1" spans="1:16">
      <c r="A64" s="112">
        <v>2477</v>
      </c>
      <c r="B64" s="112">
        <v>2457</v>
      </c>
      <c r="C64" s="112">
        <v>20</v>
      </c>
      <c r="D64" s="113">
        <v>-67</v>
      </c>
      <c r="E64" s="112">
        <v>-7</v>
      </c>
      <c r="F64" s="112">
        <v>0.082057</v>
      </c>
      <c r="G64" s="112">
        <v>60.8</v>
      </c>
      <c r="H64" s="8">
        <f t="shared" si="0"/>
        <v>-60</v>
      </c>
      <c r="I64" s="8" t="s">
        <v>265</v>
      </c>
      <c r="J64" s="27">
        <v>2477</v>
      </c>
      <c r="K64" s="27">
        <v>2457</v>
      </c>
      <c r="L64" s="27">
        <v>20</v>
      </c>
      <c r="M64" s="27">
        <v>-67</v>
      </c>
      <c r="N64" s="27">
        <v>-15</v>
      </c>
      <c r="O64" s="27">
        <v>0.096742</v>
      </c>
      <c r="P64" s="27">
        <v>0.349697</v>
      </c>
    </row>
    <row r="65" ht="18" customHeight="1" spans="1:16">
      <c r="A65" s="112">
        <v>2477</v>
      </c>
      <c r="B65" s="112">
        <v>2458</v>
      </c>
      <c r="C65" s="112">
        <v>19</v>
      </c>
      <c r="D65" s="113">
        <v>-67</v>
      </c>
      <c r="E65" s="112">
        <v>-7</v>
      </c>
      <c r="F65" s="112">
        <v>0.0935199</v>
      </c>
      <c r="G65" s="112">
        <v>57</v>
      </c>
      <c r="H65" s="8">
        <f t="shared" si="0"/>
        <v>-60</v>
      </c>
      <c r="I65" s="8" t="s">
        <v>265</v>
      </c>
      <c r="J65" s="27">
        <v>2477</v>
      </c>
      <c r="K65" s="27">
        <v>2458</v>
      </c>
      <c r="L65" s="27">
        <v>19</v>
      </c>
      <c r="M65" s="27">
        <v>-67</v>
      </c>
      <c r="N65" s="27">
        <v>-16</v>
      </c>
      <c r="O65" s="27">
        <v>0.031436</v>
      </c>
      <c r="P65" s="27">
        <v>0</v>
      </c>
    </row>
    <row r="66" ht="18" customHeight="1" spans="1:16">
      <c r="A66" s="112">
        <v>2477</v>
      </c>
      <c r="B66" s="112">
        <v>2459</v>
      </c>
      <c r="C66" s="112">
        <v>18</v>
      </c>
      <c r="D66" s="113">
        <v>-67</v>
      </c>
      <c r="E66" s="112">
        <v>-14</v>
      </c>
      <c r="F66" s="112">
        <v>0.0627761</v>
      </c>
      <c r="G66" s="112">
        <v>58.2296</v>
      </c>
      <c r="H66" s="8">
        <f t="shared" si="0"/>
        <v>-53</v>
      </c>
      <c r="I66" s="8" t="s">
        <v>265</v>
      </c>
      <c r="J66" s="27">
        <v>2477</v>
      </c>
      <c r="K66" s="27">
        <v>2459</v>
      </c>
      <c r="L66" s="27">
        <v>18</v>
      </c>
      <c r="M66" s="27">
        <v>-67</v>
      </c>
      <c r="N66" s="27">
        <v>-17</v>
      </c>
      <c r="O66" s="27">
        <v>0.025621</v>
      </c>
      <c r="P66" s="27">
        <v>0.076805</v>
      </c>
    </row>
    <row r="67" ht="18" customHeight="1" spans="1:16">
      <c r="A67" s="112">
        <v>2477</v>
      </c>
      <c r="B67" s="112">
        <v>2460</v>
      </c>
      <c r="C67" s="112">
        <v>17</v>
      </c>
      <c r="D67" s="113">
        <v>-67</v>
      </c>
      <c r="E67" s="112">
        <v>-8</v>
      </c>
      <c r="F67" s="112">
        <v>0.0613034</v>
      </c>
      <c r="G67" s="112">
        <v>49.5812</v>
      </c>
      <c r="H67" s="8">
        <f t="shared" si="0"/>
        <v>-59</v>
      </c>
      <c r="I67" s="8" t="s">
        <v>265</v>
      </c>
      <c r="J67" s="27">
        <v>2477</v>
      </c>
      <c r="K67" s="27">
        <v>2460</v>
      </c>
      <c r="L67" s="27">
        <v>17</v>
      </c>
      <c r="M67" s="27">
        <v>-67</v>
      </c>
      <c r="N67" s="27">
        <v>-17</v>
      </c>
      <c r="O67" s="27">
        <v>0.024852</v>
      </c>
      <c r="P67" s="27">
        <v>0.153139</v>
      </c>
    </row>
    <row r="68" ht="18" customHeight="1" spans="1:16">
      <c r="A68" s="112">
        <v>2477</v>
      </c>
      <c r="B68" s="112">
        <v>2461</v>
      </c>
      <c r="C68" s="112">
        <v>16</v>
      </c>
      <c r="D68" s="113">
        <v>-67</v>
      </c>
      <c r="E68" s="112">
        <v>-8</v>
      </c>
      <c r="F68" s="112">
        <v>0.07689</v>
      </c>
      <c r="G68" s="112">
        <v>54.2424</v>
      </c>
      <c r="H68" s="8">
        <f t="shared" si="0"/>
        <v>-59</v>
      </c>
      <c r="I68" s="8" t="s">
        <v>265</v>
      </c>
      <c r="J68" s="27">
        <v>2477</v>
      </c>
      <c r="K68" s="27">
        <v>2461</v>
      </c>
      <c r="L68" s="27">
        <v>16</v>
      </c>
      <c r="M68" s="27">
        <v>-67</v>
      </c>
      <c r="N68" s="27">
        <v>-17</v>
      </c>
      <c r="O68" s="27">
        <v>0.045496</v>
      </c>
      <c r="P68" s="27">
        <v>0.175155</v>
      </c>
    </row>
    <row r="69" ht="18" customHeight="1" spans="1:16">
      <c r="A69" s="112">
        <v>2477</v>
      </c>
      <c r="B69" s="112">
        <v>2462</v>
      </c>
      <c r="C69" s="112">
        <v>15</v>
      </c>
      <c r="D69" s="113">
        <v>-67</v>
      </c>
      <c r="E69" s="112">
        <v>-9</v>
      </c>
      <c r="F69" s="112">
        <v>0.0525896</v>
      </c>
      <c r="G69" s="112">
        <v>51.1364</v>
      </c>
      <c r="H69" s="8">
        <f t="shared" si="0"/>
        <v>-58</v>
      </c>
      <c r="I69" s="8" t="s">
        <v>265</v>
      </c>
      <c r="J69" s="27">
        <v>2477</v>
      </c>
      <c r="K69" s="27">
        <v>2462</v>
      </c>
      <c r="L69" s="27">
        <v>15</v>
      </c>
      <c r="M69" s="27">
        <v>-67</v>
      </c>
      <c r="N69" s="27">
        <v>-17</v>
      </c>
      <c r="O69" s="27">
        <v>0.067495</v>
      </c>
      <c r="P69" s="27">
        <v>0.269251</v>
      </c>
    </row>
    <row r="70" ht="18" customHeight="1" spans="1:16">
      <c r="A70" s="112">
        <v>2477</v>
      </c>
      <c r="B70" s="112">
        <v>2463</v>
      </c>
      <c r="C70" s="112">
        <v>14</v>
      </c>
      <c r="D70" s="113">
        <v>-67</v>
      </c>
      <c r="E70" s="112">
        <v>-9</v>
      </c>
      <c r="F70" s="112">
        <v>0.0969563</v>
      </c>
      <c r="G70" s="112">
        <v>50.8943</v>
      </c>
      <c r="H70" s="8">
        <f t="shared" si="0"/>
        <v>-58</v>
      </c>
      <c r="I70" s="8" t="s">
        <v>265</v>
      </c>
      <c r="J70" s="27">
        <v>2477</v>
      </c>
      <c r="K70" s="27">
        <v>2463</v>
      </c>
      <c r="L70" s="27">
        <v>14</v>
      </c>
      <c r="M70" s="27">
        <v>-67</v>
      </c>
      <c r="N70" s="27">
        <v>-18</v>
      </c>
      <c r="O70" s="27">
        <v>0.017518</v>
      </c>
      <c r="P70" s="27">
        <v>0.307929</v>
      </c>
    </row>
    <row r="71" ht="18" customHeight="1" spans="1:16">
      <c r="A71" s="112">
        <v>2477</v>
      </c>
      <c r="B71" s="112">
        <v>2464</v>
      </c>
      <c r="C71" s="112">
        <v>13</v>
      </c>
      <c r="D71" s="113">
        <v>-67</v>
      </c>
      <c r="E71" s="112">
        <v>-10</v>
      </c>
      <c r="F71" s="112">
        <v>0.0563942</v>
      </c>
      <c r="G71" s="112">
        <v>49.4966</v>
      </c>
      <c r="H71" s="8">
        <f t="shared" si="0"/>
        <v>-57</v>
      </c>
      <c r="I71" s="8" t="s">
        <v>265</v>
      </c>
      <c r="J71" s="27">
        <v>2477</v>
      </c>
      <c r="K71" s="27">
        <v>2464</v>
      </c>
      <c r="L71" s="27">
        <v>13</v>
      </c>
      <c r="M71" s="27">
        <v>-67</v>
      </c>
      <c r="N71" s="27">
        <v>-18</v>
      </c>
      <c r="O71" s="27">
        <v>0.023879</v>
      </c>
      <c r="P71" s="27">
        <v>0.076923</v>
      </c>
    </row>
    <row r="72" ht="18" customHeight="1" spans="1:16">
      <c r="A72" s="112">
        <v>2477</v>
      </c>
      <c r="B72" s="112">
        <v>2465</v>
      </c>
      <c r="C72" s="112">
        <v>12</v>
      </c>
      <c r="D72" s="113">
        <v>-67</v>
      </c>
      <c r="E72" s="112">
        <v>-11</v>
      </c>
      <c r="F72" s="112">
        <v>0.0366961</v>
      </c>
      <c r="G72" s="112">
        <v>45.173</v>
      </c>
      <c r="H72" s="8">
        <f t="shared" si="0"/>
        <v>-56</v>
      </c>
      <c r="I72" s="8" t="s">
        <v>265</v>
      </c>
      <c r="J72" s="27">
        <v>2477</v>
      </c>
      <c r="K72" s="27">
        <v>2465</v>
      </c>
      <c r="L72" s="27">
        <v>12</v>
      </c>
      <c r="M72" s="27">
        <v>-67</v>
      </c>
      <c r="N72" s="27">
        <v>-18</v>
      </c>
      <c r="O72" s="27">
        <v>0.078306</v>
      </c>
      <c r="P72" s="27">
        <v>0.36305</v>
      </c>
    </row>
    <row r="73" ht="18" customHeight="1" spans="1:16">
      <c r="A73" s="112">
        <v>2477</v>
      </c>
      <c r="B73" s="112">
        <v>2466</v>
      </c>
      <c r="C73" s="112">
        <v>11</v>
      </c>
      <c r="D73" s="113">
        <v>-67</v>
      </c>
      <c r="E73" s="112">
        <v>-11</v>
      </c>
      <c r="F73" s="112">
        <v>0.0690967</v>
      </c>
      <c r="G73" s="112">
        <v>50.7365</v>
      </c>
      <c r="H73" s="8">
        <f t="shared" ref="H73:H87" si="1">D73-E73</f>
        <v>-56</v>
      </c>
      <c r="I73" s="8" t="s">
        <v>265</v>
      </c>
      <c r="J73" s="27">
        <v>2477</v>
      </c>
      <c r="K73" s="27">
        <v>2466</v>
      </c>
      <c r="L73" s="27">
        <v>11</v>
      </c>
      <c r="M73" s="27">
        <v>-67</v>
      </c>
      <c r="N73" s="27">
        <v>-18</v>
      </c>
      <c r="O73" s="27">
        <v>0.054558</v>
      </c>
      <c r="P73" s="27">
        <v>0.577104</v>
      </c>
    </row>
    <row r="74" ht="18" customHeight="1" spans="1:16">
      <c r="A74" s="112">
        <v>2477</v>
      </c>
      <c r="B74" s="112">
        <v>2467</v>
      </c>
      <c r="C74" s="112">
        <v>10</v>
      </c>
      <c r="D74" s="113">
        <v>-67</v>
      </c>
      <c r="E74" s="112">
        <v>-11</v>
      </c>
      <c r="F74" s="112">
        <v>0.0605057</v>
      </c>
      <c r="G74" s="112">
        <v>51.3688</v>
      </c>
      <c r="H74" s="8">
        <f t="shared" si="1"/>
        <v>-56</v>
      </c>
      <c r="I74" s="8" t="s">
        <v>265</v>
      </c>
      <c r="J74" s="27">
        <v>2477</v>
      </c>
      <c r="K74" s="27">
        <v>2467</v>
      </c>
      <c r="L74" s="27">
        <v>10</v>
      </c>
      <c r="M74" s="27">
        <v>-67</v>
      </c>
      <c r="N74" s="27">
        <v>-18</v>
      </c>
      <c r="O74" s="27">
        <v>0.093618</v>
      </c>
      <c r="P74" s="27">
        <v>3.828186</v>
      </c>
    </row>
    <row r="75" ht="18" customHeight="1" spans="1:16">
      <c r="A75" s="112">
        <v>2477</v>
      </c>
      <c r="B75" s="112">
        <v>2468</v>
      </c>
      <c r="C75" s="112">
        <v>9</v>
      </c>
      <c r="D75" s="113">
        <v>-67</v>
      </c>
      <c r="E75" s="112">
        <v>-13</v>
      </c>
      <c r="F75" s="112">
        <v>0.0587874</v>
      </c>
      <c r="G75" s="112">
        <v>46.14</v>
      </c>
      <c r="H75" s="8">
        <f t="shared" si="1"/>
        <v>-54</v>
      </c>
      <c r="I75" s="8" t="s">
        <v>265</v>
      </c>
      <c r="J75" s="27">
        <v>2477</v>
      </c>
      <c r="K75" s="27">
        <v>2468</v>
      </c>
      <c r="L75" s="27">
        <v>9</v>
      </c>
      <c r="M75" s="27">
        <v>-67</v>
      </c>
      <c r="N75" s="27">
        <v>-19</v>
      </c>
      <c r="O75" s="27">
        <v>0.020894</v>
      </c>
      <c r="P75" s="27">
        <v>2.546296</v>
      </c>
    </row>
    <row r="76" ht="18" customHeight="1" spans="1:16">
      <c r="A76" s="112">
        <v>2477</v>
      </c>
      <c r="B76" s="112">
        <v>2469</v>
      </c>
      <c r="C76" s="112">
        <v>8</v>
      </c>
      <c r="D76" s="113">
        <v>-67</v>
      </c>
      <c r="E76" s="112">
        <v>-14</v>
      </c>
      <c r="F76" s="112">
        <v>0.0210481</v>
      </c>
      <c r="G76" s="112">
        <v>42.9924</v>
      </c>
      <c r="H76" s="8">
        <f t="shared" si="1"/>
        <v>-53</v>
      </c>
      <c r="I76" s="8" t="s">
        <v>265</v>
      </c>
      <c r="J76" s="27">
        <v>2477</v>
      </c>
      <c r="K76" s="27">
        <v>2469</v>
      </c>
      <c r="L76" s="27">
        <v>8</v>
      </c>
      <c r="M76" s="27">
        <v>-67</v>
      </c>
      <c r="N76" s="27">
        <v>-19</v>
      </c>
      <c r="O76" s="27">
        <v>0.028711</v>
      </c>
      <c r="P76" s="27">
        <v>0.845503</v>
      </c>
    </row>
    <row r="77" ht="18" customHeight="1" spans="1:16">
      <c r="A77" s="112">
        <v>2477</v>
      </c>
      <c r="B77" s="112">
        <v>2470</v>
      </c>
      <c r="C77" s="112">
        <v>7</v>
      </c>
      <c r="D77" s="113">
        <v>-67</v>
      </c>
      <c r="E77" s="112">
        <v>-15</v>
      </c>
      <c r="F77" s="112">
        <v>0.0226436</v>
      </c>
      <c r="G77" s="112">
        <v>43.1002</v>
      </c>
      <c r="H77" s="8">
        <f t="shared" si="1"/>
        <v>-52</v>
      </c>
      <c r="I77" s="8" t="s">
        <v>265</v>
      </c>
      <c r="J77" s="27">
        <v>2477</v>
      </c>
      <c r="K77" s="27">
        <v>2470</v>
      </c>
      <c r="L77" s="27">
        <v>7</v>
      </c>
      <c r="M77" s="27">
        <v>-67</v>
      </c>
      <c r="N77" s="27">
        <v>-19</v>
      </c>
      <c r="O77" s="27">
        <v>0.080556</v>
      </c>
      <c r="P77" s="27">
        <v>0.309473</v>
      </c>
    </row>
    <row r="78" ht="18" customHeight="1" spans="1:16">
      <c r="A78" s="112">
        <v>2477</v>
      </c>
      <c r="B78" s="112">
        <v>2471</v>
      </c>
      <c r="C78" s="112">
        <v>6</v>
      </c>
      <c r="D78" s="113">
        <v>-67</v>
      </c>
      <c r="E78" s="112">
        <v>-15</v>
      </c>
      <c r="F78" s="112">
        <v>0.0349165</v>
      </c>
      <c r="G78" s="112">
        <v>44.052</v>
      </c>
      <c r="H78" s="8">
        <f t="shared" si="1"/>
        <v>-52</v>
      </c>
      <c r="I78" s="8" t="s">
        <v>265</v>
      </c>
      <c r="J78" s="27">
        <v>2477</v>
      </c>
      <c r="K78" s="27">
        <v>2471</v>
      </c>
      <c r="L78" s="27">
        <v>6</v>
      </c>
      <c r="M78" s="27">
        <v>-67</v>
      </c>
      <c r="N78" s="27">
        <v>-21</v>
      </c>
      <c r="O78" s="27">
        <v>0.058433</v>
      </c>
      <c r="P78" s="27">
        <v>0.72357</v>
      </c>
    </row>
    <row r="79" ht="18" customHeight="1" spans="1:16">
      <c r="A79" s="112">
        <v>2477</v>
      </c>
      <c r="B79" s="112">
        <v>2472</v>
      </c>
      <c r="C79" s="112">
        <v>5</v>
      </c>
      <c r="D79" s="113">
        <v>-67</v>
      </c>
      <c r="E79" s="112">
        <v>-14</v>
      </c>
      <c r="F79" s="112">
        <v>0.0692194</v>
      </c>
      <c r="G79" s="112">
        <v>50.7341</v>
      </c>
      <c r="H79" s="8">
        <f t="shared" si="1"/>
        <v>-53</v>
      </c>
      <c r="I79" s="8" t="s">
        <v>265</v>
      </c>
      <c r="J79" s="27">
        <v>2477</v>
      </c>
      <c r="K79" s="27">
        <v>2472</v>
      </c>
      <c r="L79" s="27">
        <v>5</v>
      </c>
      <c r="M79" s="27">
        <v>-67</v>
      </c>
      <c r="N79" s="27">
        <v>-22</v>
      </c>
      <c r="O79" s="27">
        <v>0.040491</v>
      </c>
      <c r="P79" s="27">
        <v>0.07734</v>
      </c>
    </row>
    <row r="80" ht="18" customHeight="1" spans="1:16">
      <c r="A80" s="112">
        <v>2477</v>
      </c>
      <c r="B80" s="112">
        <v>2473</v>
      </c>
      <c r="C80" s="112">
        <v>4</v>
      </c>
      <c r="D80" s="113">
        <v>-67</v>
      </c>
      <c r="E80" s="112">
        <v>-18</v>
      </c>
      <c r="F80" s="112">
        <v>0.0968336</v>
      </c>
      <c r="G80" s="112">
        <v>51.7628</v>
      </c>
      <c r="H80" s="8">
        <f t="shared" si="1"/>
        <v>-49</v>
      </c>
      <c r="I80" s="8" t="s">
        <v>266</v>
      </c>
      <c r="J80" s="27">
        <v>2477</v>
      </c>
      <c r="K80" s="27">
        <v>2473</v>
      </c>
      <c r="L80" s="27">
        <v>4</v>
      </c>
      <c r="M80" s="27">
        <v>-67</v>
      </c>
      <c r="N80" s="27">
        <v>-35</v>
      </c>
      <c r="O80" s="27">
        <v>0.006948</v>
      </c>
      <c r="P80" s="27">
        <v>43.13421</v>
      </c>
    </row>
    <row r="81" ht="18" customHeight="1" spans="1:16">
      <c r="A81" s="112">
        <v>2477</v>
      </c>
      <c r="B81" s="112">
        <v>2474</v>
      </c>
      <c r="C81" s="112">
        <v>3</v>
      </c>
      <c r="D81" s="113">
        <v>-67</v>
      </c>
      <c r="E81" s="112">
        <v>-45</v>
      </c>
      <c r="F81" s="112">
        <v>0.0635739</v>
      </c>
      <c r="G81" s="112">
        <v>47.561</v>
      </c>
      <c r="H81" s="8">
        <f t="shared" si="1"/>
        <v>-22</v>
      </c>
      <c r="I81" s="8" t="s">
        <v>267</v>
      </c>
      <c r="J81" s="27">
        <v>2477</v>
      </c>
      <c r="K81" s="27">
        <v>2474</v>
      </c>
      <c r="L81" s="27">
        <v>3</v>
      </c>
      <c r="M81" s="27">
        <v>-67</v>
      </c>
      <c r="N81" s="27">
        <v>-40</v>
      </c>
      <c r="O81" s="27">
        <v>0.031864</v>
      </c>
      <c r="P81" s="27">
        <v>24.23313</v>
      </c>
    </row>
    <row r="82" ht="18" customHeight="1" spans="1:16">
      <c r="A82" s="112">
        <v>2477</v>
      </c>
      <c r="B82" s="112">
        <v>2475</v>
      </c>
      <c r="C82" s="112">
        <v>2</v>
      </c>
      <c r="D82" s="113">
        <v>-60</v>
      </c>
      <c r="E82" s="112">
        <v>-13</v>
      </c>
      <c r="F82" s="112">
        <v>0.0595852</v>
      </c>
      <c r="G82" s="112">
        <v>47.1831</v>
      </c>
      <c r="H82" s="8">
        <f t="shared" si="1"/>
        <v>-47</v>
      </c>
      <c r="I82" s="8" t="s">
        <v>266</v>
      </c>
      <c r="J82" s="27">
        <v>2477</v>
      </c>
      <c r="K82" s="27">
        <v>2475</v>
      </c>
      <c r="L82" s="27">
        <v>2</v>
      </c>
      <c r="M82" s="27">
        <v>-60</v>
      </c>
      <c r="N82" s="27">
        <v>-28</v>
      </c>
      <c r="O82" s="27">
        <v>0.016967</v>
      </c>
      <c r="P82" s="27">
        <v>11.77829</v>
      </c>
    </row>
    <row r="83" ht="18" customHeight="1" spans="1:16">
      <c r="A83" s="112">
        <v>2477</v>
      </c>
      <c r="B83" s="112">
        <v>2476</v>
      </c>
      <c r="C83" s="112">
        <v>1</v>
      </c>
      <c r="D83" s="113">
        <v>-60</v>
      </c>
      <c r="E83" s="112">
        <v>-31</v>
      </c>
      <c r="F83" s="112">
        <v>0.0762764</v>
      </c>
      <c r="G83" s="112">
        <v>44.0299</v>
      </c>
      <c r="H83" s="8">
        <f t="shared" si="1"/>
        <v>-29</v>
      </c>
      <c r="I83" s="8" t="s">
        <v>268</v>
      </c>
      <c r="J83" s="27">
        <v>2477</v>
      </c>
      <c r="K83" s="27">
        <v>2476</v>
      </c>
      <c r="L83" s="27">
        <v>1</v>
      </c>
      <c r="M83" s="27">
        <v>-60</v>
      </c>
      <c r="N83" s="27">
        <v>-56</v>
      </c>
      <c r="O83" s="27">
        <v>0.065495</v>
      </c>
      <c r="P83" s="27">
        <v>1.068233</v>
      </c>
    </row>
    <row r="84" ht="18" customHeight="1" spans="1:16">
      <c r="A84" s="112">
        <v>2477</v>
      </c>
      <c r="B84" s="112">
        <v>2477</v>
      </c>
      <c r="C84" s="112">
        <v>0</v>
      </c>
      <c r="D84" s="113">
        <v>-60</v>
      </c>
      <c r="E84" s="112">
        <v>-68</v>
      </c>
      <c r="F84" s="112">
        <v>0.0623466</v>
      </c>
      <c r="G84" s="112">
        <v>56.962</v>
      </c>
      <c r="H84" s="8">
        <f t="shared" si="1"/>
        <v>8</v>
      </c>
      <c r="I84" s="8" t="s">
        <v>269</v>
      </c>
      <c r="J84" s="27">
        <v>2477</v>
      </c>
      <c r="K84" s="27">
        <v>2477</v>
      </c>
      <c r="L84" s="27">
        <v>0</v>
      </c>
      <c r="M84" s="27">
        <v>-60</v>
      </c>
      <c r="N84" s="27">
        <v>-70</v>
      </c>
      <c r="O84" s="27">
        <v>0.027864</v>
      </c>
      <c r="P84" s="27">
        <v>0</v>
      </c>
    </row>
    <row r="85" ht="18" customHeight="1" spans="1:16">
      <c r="A85" s="112">
        <v>2477</v>
      </c>
      <c r="B85" s="112">
        <v>2478</v>
      </c>
      <c r="C85" s="112">
        <v>-1</v>
      </c>
      <c r="D85" s="113">
        <v>-60</v>
      </c>
      <c r="E85" s="112">
        <v>-31</v>
      </c>
      <c r="F85" s="112">
        <v>0.0618083</v>
      </c>
      <c r="G85" s="112">
        <v>66.4</v>
      </c>
      <c r="H85" s="8">
        <f t="shared" si="1"/>
        <v>-29</v>
      </c>
      <c r="I85" s="8" t="s">
        <v>268</v>
      </c>
      <c r="J85" s="27">
        <v>2477</v>
      </c>
      <c r="K85" s="27">
        <v>2478</v>
      </c>
      <c r="L85" s="27">
        <v>1</v>
      </c>
      <c r="M85" s="27">
        <v>-60</v>
      </c>
      <c r="N85" s="27">
        <v>-56</v>
      </c>
      <c r="O85" s="27">
        <v>0.04485</v>
      </c>
      <c r="P85" s="27">
        <v>0.698216</v>
      </c>
    </row>
    <row r="86" ht="18" customHeight="1" spans="1:16">
      <c r="A86" s="112">
        <v>2477</v>
      </c>
      <c r="B86" s="112">
        <v>2479</v>
      </c>
      <c r="C86" s="112">
        <v>-2</v>
      </c>
      <c r="D86" s="113">
        <v>-60</v>
      </c>
      <c r="E86" s="112">
        <v>-13</v>
      </c>
      <c r="F86" s="112">
        <v>0.0200663</v>
      </c>
      <c r="G86" s="112">
        <v>51.8459</v>
      </c>
      <c r="H86" s="8">
        <f t="shared" si="1"/>
        <v>-47</v>
      </c>
      <c r="I86" s="8" t="s">
        <v>270</v>
      </c>
      <c r="J86" s="27">
        <v>2477</v>
      </c>
      <c r="K86" s="27">
        <v>2479</v>
      </c>
      <c r="L86" s="27">
        <v>2</v>
      </c>
      <c r="M86" s="27">
        <v>-60</v>
      </c>
      <c r="N86" s="27">
        <v>-23</v>
      </c>
      <c r="O86" s="27">
        <v>0.030768</v>
      </c>
      <c r="P86" s="27">
        <v>25.52204</v>
      </c>
    </row>
    <row r="87" ht="18" customHeight="1" spans="1:16">
      <c r="A87" s="112">
        <v>2477</v>
      </c>
      <c r="B87" s="112">
        <v>2480</v>
      </c>
      <c r="C87" s="112">
        <v>-3</v>
      </c>
      <c r="D87" s="113">
        <v>-67</v>
      </c>
      <c r="E87" s="112">
        <v>-23</v>
      </c>
      <c r="F87" s="112">
        <v>0.000859106</v>
      </c>
      <c r="G87" s="112">
        <v>5.95611</v>
      </c>
      <c r="H87" s="8">
        <f t="shared" si="1"/>
        <v>-44</v>
      </c>
      <c r="I87" s="8" t="s">
        <v>265</v>
      </c>
      <c r="J87" s="27">
        <v>2477</v>
      </c>
      <c r="K87" s="27">
        <v>2480</v>
      </c>
      <c r="L87" s="27">
        <v>3</v>
      </c>
      <c r="M87" s="27">
        <v>-67</v>
      </c>
      <c r="N87" s="27">
        <v>-34</v>
      </c>
      <c r="O87" s="27">
        <v>0.041976</v>
      </c>
      <c r="P87" s="27">
        <v>12.27799</v>
      </c>
    </row>
  </sheetData>
  <sheetProtection insertHyperlinks="0" autoFilter="0"/>
  <mergeCells count="10">
    <mergeCell ref="A1:I1"/>
    <mergeCell ref="B2:C2"/>
    <mergeCell ref="E2:I2"/>
    <mergeCell ref="B3:I3"/>
    <mergeCell ref="B4:I4"/>
    <mergeCell ref="B5:D5"/>
    <mergeCell ref="E5:I5"/>
    <mergeCell ref="B6:I6"/>
    <mergeCell ref="A7:I7"/>
    <mergeCell ref="J7:P7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84"/>
  <sheetViews>
    <sheetView workbookViewId="0">
      <selection activeCell="A1" sqref="A1:K1"/>
    </sheetView>
  </sheetViews>
  <sheetFormatPr defaultColWidth="9" defaultRowHeight="14.25" customHeight="1"/>
  <cols>
    <col min="2" max="2" width="12.3333333333333" style="1" customWidth="1"/>
    <col min="3" max="3" width="12.5" style="1" customWidth="1"/>
    <col min="4" max="4" width="12" style="1" customWidth="1"/>
    <col min="5" max="5" width="11.1666666666667" style="1" customWidth="1"/>
    <col min="8" max="8" width="14" style="1" customWidth="1"/>
    <col min="9" max="9" width="10.5" style="1" customWidth="1"/>
    <col min="10" max="10" width="12" style="1" customWidth="1"/>
    <col min="11" max="11" width="13" style="1" customWidth="1"/>
  </cols>
  <sheetData>
    <row r="1" ht="35" customHeight="1" spans="1:11">
      <c r="A1" s="82" t="s">
        <v>271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ht="34" customHeight="1" spans="1:14">
      <c r="A2" s="6" t="s">
        <v>83</v>
      </c>
      <c r="B2" s="83"/>
      <c r="C2" s="83"/>
      <c r="D2" s="6" t="s">
        <v>84</v>
      </c>
      <c r="E2" s="8"/>
      <c r="F2" s="8"/>
      <c r="G2" s="8"/>
      <c r="H2" s="6" t="s">
        <v>85</v>
      </c>
      <c r="I2" s="84" t="s">
        <v>272</v>
      </c>
      <c r="J2" s="84"/>
      <c r="K2" s="84"/>
      <c r="L2" s="100"/>
      <c r="M2" s="100"/>
      <c r="N2" s="100"/>
    </row>
    <row r="3" ht="35" customHeight="1" spans="1:14">
      <c r="A3" s="6" t="s">
        <v>87</v>
      </c>
      <c r="B3" s="9"/>
      <c r="C3" s="9"/>
      <c r="D3" s="6" t="s">
        <v>88</v>
      </c>
      <c r="E3" s="47"/>
      <c r="F3" s="50"/>
      <c r="G3" s="50"/>
      <c r="H3" s="50"/>
      <c r="I3" s="50"/>
      <c r="J3" s="50"/>
      <c r="K3" s="48"/>
      <c r="L3" s="100"/>
      <c r="M3" s="100"/>
      <c r="N3" s="100"/>
    </row>
    <row r="4" ht="36" customHeight="1" spans="1:14">
      <c r="A4" s="6" t="s">
        <v>273</v>
      </c>
      <c r="B4" s="84" t="s">
        <v>274</v>
      </c>
      <c r="C4" s="84"/>
      <c r="D4" s="84"/>
      <c r="E4" s="84"/>
      <c r="F4" s="84"/>
      <c r="G4" s="84"/>
      <c r="H4" s="84"/>
      <c r="I4" s="84"/>
      <c r="J4" s="84"/>
      <c r="K4" s="84"/>
      <c r="L4" s="100"/>
      <c r="M4" s="100"/>
      <c r="N4" s="100"/>
    </row>
    <row r="5" ht="21" customHeight="1" spans="1:14">
      <c r="A5" s="6" t="s">
        <v>89</v>
      </c>
      <c r="B5" s="41" t="s">
        <v>25</v>
      </c>
      <c r="C5" s="41"/>
      <c r="D5" s="41"/>
      <c r="E5" s="41"/>
      <c r="F5" s="41"/>
      <c r="G5" s="41"/>
      <c r="H5" s="41"/>
      <c r="I5" s="41"/>
      <c r="J5" s="41"/>
      <c r="K5" s="41"/>
      <c r="L5" s="100"/>
      <c r="M5" s="100"/>
      <c r="N5" s="100"/>
    </row>
    <row r="6" ht="16.5" customHeight="1" spans="1:14">
      <c r="A6" s="72" t="s">
        <v>275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100"/>
      <c r="M6" s="100"/>
      <c r="N6" s="100"/>
    </row>
    <row r="7" ht="16.5" customHeight="1" spans="1:14">
      <c r="A7" s="6" t="s">
        <v>276</v>
      </c>
      <c r="B7" s="9" t="s">
        <v>277</v>
      </c>
      <c r="C7" s="9"/>
      <c r="D7" s="9"/>
      <c r="E7" s="9"/>
      <c r="F7" s="8"/>
      <c r="G7" s="8"/>
      <c r="H7" s="8"/>
      <c r="I7" s="8"/>
      <c r="J7" s="8"/>
      <c r="K7" s="8"/>
      <c r="L7" s="100"/>
      <c r="M7" s="100"/>
      <c r="N7" s="100"/>
    </row>
    <row r="8" ht="16.5" customHeight="1" spans="1:14">
      <c r="A8" s="8"/>
      <c r="B8" s="8" t="s">
        <v>278</v>
      </c>
      <c r="C8" s="8" t="s">
        <v>279</v>
      </c>
      <c r="D8" s="8" t="s">
        <v>280</v>
      </c>
      <c r="E8" s="8" t="s">
        <v>281</v>
      </c>
      <c r="F8" s="8"/>
      <c r="G8" s="8"/>
      <c r="H8" s="8"/>
      <c r="I8" s="8"/>
      <c r="J8" s="8"/>
      <c r="K8" s="8"/>
      <c r="L8" s="100"/>
      <c r="M8" s="100"/>
      <c r="N8" s="100"/>
    </row>
    <row r="9" ht="17.25" customHeight="1" spans="1:14">
      <c r="A9" s="8" t="s">
        <v>282</v>
      </c>
      <c r="B9" s="8">
        <v>2402</v>
      </c>
      <c r="C9" s="85">
        <v>8.43433</v>
      </c>
      <c r="D9" s="86">
        <v>-95</v>
      </c>
      <c r="E9" s="9"/>
      <c r="F9" s="8"/>
      <c r="G9" s="8"/>
      <c r="H9" s="8"/>
      <c r="I9" s="8"/>
      <c r="J9" s="8"/>
      <c r="K9" s="8"/>
      <c r="L9" s="100"/>
      <c r="M9" s="100"/>
      <c r="N9" s="100"/>
    </row>
    <row r="10" ht="17.25" customHeight="1" spans="1:14">
      <c r="A10" s="8"/>
      <c r="B10" s="8">
        <v>2441</v>
      </c>
      <c r="C10" s="85">
        <v>8.06674</v>
      </c>
      <c r="D10" s="86">
        <v>-95</v>
      </c>
      <c r="E10" s="9"/>
      <c r="F10" s="8"/>
      <c r="G10" s="8"/>
      <c r="H10" s="8"/>
      <c r="I10" s="8"/>
      <c r="J10" s="8"/>
      <c r="K10" s="8"/>
      <c r="L10" s="100"/>
      <c r="M10" s="100"/>
      <c r="N10" s="100"/>
    </row>
    <row r="11" ht="17.25" customHeight="1" spans="1:14">
      <c r="A11" s="8"/>
      <c r="B11" s="8">
        <v>2480</v>
      </c>
      <c r="C11" s="85">
        <v>7.47888</v>
      </c>
      <c r="D11" s="86">
        <v>-95</v>
      </c>
      <c r="E11" s="9"/>
      <c r="F11" s="8"/>
      <c r="G11" s="8"/>
      <c r="H11" s="8"/>
      <c r="I11" s="8"/>
      <c r="J11" s="8"/>
      <c r="K11" s="8"/>
      <c r="L11" s="100"/>
      <c r="M11" s="100"/>
      <c r="N11" s="100"/>
    </row>
    <row r="12" ht="16.5" hidden="1" customHeight="1" spans="1:14">
      <c r="A12" s="87" t="s">
        <v>283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100"/>
      <c r="M12" s="100"/>
      <c r="N12" s="100"/>
    </row>
    <row r="13" ht="16.5" hidden="1" customHeight="1" spans="1:14">
      <c r="A13" s="88" t="s">
        <v>284</v>
      </c>
      <c r="B13" s="89" t="s">
        <v>285</v>
      </c>
      <c r="C13" s="89"/>
      <c r="D13" s="89"/>
      <c r="E13" s="89"/>
      <c r="F13" s="90"/>
      <c r="G13" s="88" t="s">
        <v>284</v>
      </c>
      <c r="H13" s="89" t="s">
        <v>285</v>
      </c>
      <c r="I13" s="89"/>
      <c r="J13" s="89"/>
      <c r="K13" s="89"/>
      <c r="L13" s="100"/>
      <c r="M13" s="100"/>
      <c r="N13" s="100"/>
    </row>
    <row r="14" ht="16.5" hidden="1" customHeight="1" spans="1:14">
      <c r="A14" s="8" t="s">
        <v>286</v>
      </c>
      <c r="B14" s="91"/>
      <c r="C14" s="91"/>
      <c r="D14" s="91"/>
      <c r="E14" s="91"/>
      <c r="F14" s="90"/>
      <c r="G14" s="8" t="s">
        <v>287</v>
      </c>
      <c r="H14" s="91"/>
      <c r="I14" s="91"/>
      <c r="J14" s="91"/>
      <c r="K14" s="91"/>
      <c r="L14" s="100"/>
      <c r="M14" s="100"/>
      <c r="N14" s="100"/>
    </row>
    <row r="15" ht="16.5" hidden="1" customHeight="1" spans="1:14">
      <c r="A15" s="8"/>
      <c r="B15" s="91"/>
      <c r="C15" s="91"/>
      <c r="D15" s="91"/>
      <c r="E15" s="91"/>
      <c r="F15" s="90"/>
      <c r="G15" s="8"/>
      <c r="H15" s="91"/>
      <c r="I15" s="91"/>
      <c r="J15" s="91"/>
      <c r="K15" s="91"/>
      <c r="L15" s="100"/>
      <c r="M15" s="100"/>
      <c r="N15" s="100"/>
    </row>
    <row r="16" ht="16.5" hidden="1" customHeight="1" spans="1:14">
      <c r="A16" s="8"/>
      <c r="B16" s="91"/>
      <c r="C16" s="91"/>
      <c r="D16" s="91"/>
      <c r="E16" s="91"/>
      <c r="F16" s="90"/>
      <c r="G16" s="8"/>
      <c r="H16" s="91"/>
      <c r="I16" s="91"/>
      <c r="J16" s="91"/>
      <c r="K16" s="91"/>
      <c r="L16" s="100"/>
      <c r="M16" s="100"/>
      <c r="N16" s="100"/>
    </row>
    <row r="17" ht="16.5" hidden="1" customHeight="1" spans="1:14">
      <c r="A17" s="8"/>
      <c r="B17" s="91"/>
      <c r="C17" s="91"/>
      <c r="D17" s="91"/>
      <c r="E17" s="91"/>
      <c r="F17" s="90"/>
      <c r="G17" s="8"/>
      <c r="H17" s="91"/>
      <c r="I17" s="91"/>
      <c r="J17" s="91"/>
      <c r="K17" s="91"/>
      <c r="L17" s="100"/>
      <c r="M17" s="100"/>
      <c r="N17" s="100"/>
    </row>
    <row r="18" ht="16.5" hidden="1" customHeight="1" spans="1:14">
      <c r="A18" s="8"/>
      <c r="B18" s="91"/>
      <c r="C18" s="91"/>
      <c r="D18" s="91"/>
      <c r="E18" s="91"/>
      <c r="F18" s="90"/>
      <c r="G18" s="8"/>
      <c r="H18" s="91"/>
      <c r="I18" s="91"/>
      <c r="J18" s="91"/>
      <c r="K18" s="91"/>
      <c r="L18" s="100"/>
      <c r="M18" s="100"/>
      <c r="N18" s="100"/>
    </row>
    <row r="19" ht="16.5" hidden="1" customHeight="1" spans="1:14">
      <c r="A19" s="8"/>
      <c r="B19" s="91"/>
      <c r="C19" s="91"/>
      <c r="D19" s="91"/>
      <c r="E19" s="91"/>
      <c r="F19" s="90"/>
      <c r="G19" s="8"/>
      <c r="H19" s="91"/>
      <c r="I19" s="91"/>
      <c r="J19" s="91"/>
      <c r="K19" s="91"/>
      <c r="L19" s="100"/>
      <c r="M19" s="100"/>
      <c r="N19" s="100"/>
    </row>
    <row r="20" ht="16.5" hidden="1" customHeight="1" spans="1:14">
      <c r="A20" s="8"/>
      <c r="B20" s="91"/>
      <c r="C20" s="91"/>
      <c r="D20" s="91"/>
      <c r="E20" s="91"/>
      <c r="F20" s="90"/>
      <c r="G20" s="8"/>
      <c r="H20" s="91"/>
      <c r="I20" s="91"/>
      <c r="J20" s="91"/>
      <c r="K20" s="91"/>
      <c r="L20" s="100"/>
      <c r="M20" s="100"/>
      <c r="N20" s="100"/>
    </row>
    <row r="21" ht="16.5" hidden="1" customHeight="1" spans="1:14">
      <c r="A21" s="8"/>
      <c r="B21" s="91"/>
      <c r="C21" s="91"/>
      <c r="D21" s="91"/>
      <c r="E21" s="91"/>
      <c r="F21" s="90"/>
      <c r="G21" s="8"/>
      <c r="H21" s="91"/>
      <c r="I21" s="91"/>
      <c r="J21" s="91"/>
      <c r="K21" s="91"/>
      <c r="L21" s="100"/>
      <c r="M21" s="100"/>
      <c r="N21" s="100"/>
    </row>
    <row r="22" ht="16.5" hidden="1" customHeight="1" spans="1:14">
      <c r="A22" s="8"/>
      <c r="B22" s="91"/>
      <c r="C22" s="91"/>
      <c r="D22" s="91"/>
      <c r="E22" s="91"/>
      <c r="F22" s="90"/>
      <c r="G22" s="8"/>
      <c r="H22" s="91"/>
      <c r="I22" s="91"/>
      <c r="J22" s="91"/>
      <c r="K22" s="91"/>
      <c r="L22" s="100"/>
      <c r="M22" s="100"/>
      <c r="N22" s="100"/>
    </row>
    <row r="23" ht="16.5" hidden="1" customHeight="1" spans="1:14">
      <c r="A23" s="8"/>
      <c r="B23" s="91"/>
      <c r="C23" s="91"/>
      <c r="D23" s="91"/>
      <c r="E23" s="91"/>
      <c r="F23" s="90"/>
      <c r="G23" s="8"/>
      <c r="H23" s="91"/>
      <c r="I23" s="91"/>
      <c r="J23" s="91"/>
      <c r="K23" s="91"/>
      <c r="L23" s="100"/>
      <c r="M23" s="100"/>
      <c r="N23" s="100"/>
    </row>
    <row r="24" ht="16.5" hidden="1" customHeight="1" spans="1:14">
      <c r="A24" s="92" t="s">
        <v>288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100"/>
      <c r="M24" s="100"/>
      <c r="N24" s="100"/>
    </row>
    <row r="25" ht="16.5" hidden="1" customHeight="1" spans="1:14">
      <c r="A25" s="8"/>
      <c r="B25" s="8" t="s">
        <v>278</v>
      </c>
      <c r="C25" s="8" t="s">
        <v>289</v>
      </c>
      <c r="D25" s="8" t="s">
        <v>290</v>
      </c>
      <c r="E25" s="8" t="s">
        <v>291</v>
      </c>
      <c r="F25" s="90"/>
      <c r="G25" s="8"/>
      <c r="H25" s="8" t="s">
        <v>278</v>
      </c>
      <c r="I25" s="8" t="s">
        <v>289</v>
      </c>
      <c r="J25" s="8" t="s">
        <v>290</v>
      </c>
      <c r="K25" s="8" t="s">
        <v>292</v>
      </c>
      <c r="L25" s="100"/>
      <c r="M25" s="100"/>
      <c r="N25" s="100"/>
    </row>
    <row r="26" ht="16.5" hidden="1" customHeight="1" spans="1:14">
      <c r="A26" s="8" t="s">
        <v>286</v>
      </c>
      <c r="B26" s="8">
        <v>2400</v>
      </c>
      <c r="C26" s="93"/>
      <c r="D26" s="85"/>
      <c r="E26" s="85"/>
      <c r="F26" s="90"/>
      <c r="G26" s="94" t="s">
        <v>287</v>
      </c>
      <c r="H26" s="94">
        <v>2400</v>
      </c>
      <c r="I26" s="93"/>
      <c r="J26" s="85"/>
      <c r="K26" s="85"/>
      <c r="L26" s="100"/>
      <c r="M26" s="100"/>
      <c r="N26" s="100"/>
    </row>
    <row r="27" ht="17.25" hidden="1" customHeight="1" spans="1:14">
      <c r="A27" s="8"/>
      <c r="B27" s="8">
        <v>2410</v>
      </c>
      <c r="C27" s="93"/>
      <c r="D27" s="85"/>
      <c r="E27" s="85"/>
      <c r="F27" s="90"/>
      <c r="G27" s="94"/>
      <c r="H27" s="8">
        <v>2410</v>
      </c>
      <c r="I27" s="93"/>
      <c r="J27" s="85"/>
      <c r="K27" s="85"/>
      <c r="L27" s="100"/>
      <c r="M27" s="100"/>
      <c r="N27" s="100"/>
    </row>
    <row r="28" ht="17.25" hidden="1" customHeight="1" spans="1:14">
      <c r="A28" s="8"/>
      <c r="B28" s="8">
        <v>2420</v>
      </c>
      <c r="C28" s="93"/>
      <c r="D28" s="85"/>
      <c r="E28" s="85"/>
      <c r="F28" s="90"/>
      <c r="G28" s="94"/>
      <c r="H28" s="8">
        <v>2420</v>
      </c>
      <c r="I28" s="93"/>
      <c r="J28" s="85"/>
      <c r="K28" s="85"/>
      <c r="L28" s="100"/>
      <c r="M28" s="100"/>
      <c r="N28" s="100"/>
    </row>
    <row r="29" ht="17.25" hidden="1" customHeight="1" spans="1:14">
      <c r="A29" s="8"/>
      <c r="B29" s="8">
        <v>2430</v>
      </c>
      <c r="C29" s="93"/>
      <c r="D29" s="85"/>
      <c r="E29" s="85"/>
      <c r="F29" s="90"/>
      <c r="G29" s="94"/>
      <c r="H29" s="15">
        <v>2430</v>
      </c>
      <c r="I29" s="93"/>
      <c r="J29" s="85"/>
      <c r="K29" s="85"/>
      <c r="L29" s="100"/>
      <c r="M29" s="100"/>
      <c r="N29" s="100"/>
    </row>
    <row r="30" ht="17.25" hidden="1" customHeight="1" spans="1:14">
      <c r="A30" s="8"/>
      <c r="B30" s="8">
        <v>2440</v>
      </c>
      <c r="C30" s="93"/>
      <c r="D30" s="85"/>
      <c r="E30" s="85"/>
      <c r="F30" s="90"/>
      <c r="G30" s="94"/>
      <c r="H30" s="15">
        <v>2440</v>
      </c>
      <c r="I30" s="93"/>
      <c r="J30" s="85"/>
      <c r="K30" s="85"/>
      <c r="L30" s="100"/>
      <c r="M30" s="100"/>
      <c r="N30" s="100"/>
    </row>
    <row r="31" ht="17.25" hidden="1" customHeight="1" spans="1:14">
      <c r="A31" s="8"/>
      <c r="B31" s="8">
        <v>2450</v>
      </c>
      <c r="C31" s="93"/>
      <c r="D31" s="85"/>
      <c r="E31" s="85"/>
      <c r="F31" s="90"/>
      <c r="G31" s="94"/>
      <c r="H31" s="15">
        <v>2450</v>
      </c>
      <c r="I31" s="93"/>
      <c r="J31" s="85"/>
      <c r="K31" s="85"/>
      <c r="L31" s="100"/>
      <c r="M31" s="100"/>
      <c r="N31" s="100"/>
    </row>
    <row r="32" ht="17.25" hidden="1" customHeight="1" spans="1:14">
      <c r="A32" s="8"/>
      <c r="B32" s="8">
        <v>2460</v>
      </c>
      <c r="C32" s="93"/>
      <c r="D32" s="85"/>
      <c r="E32" s="85"/>
      <c r="F32" s="90"/>
      <c r="G32" s="94"/>
      <c r="H32" s="15">
        <v>2460</v>
      </c>
      <c r="I32" s="93"/>
      <c r="J32" s="85"/>
      <c r="K32" s="85"/>
      <c r="L32" s="100"/>
      <c r="M32" s="100"/>
      <c r="N32" s="100"/>
    </row>
    <row r="33" ht="17.25" hidden="1" customHeight="1" spans="1:14">
      <c r="A33" s="8"/>
      <c r="B33" s="8">
        <v>2470</v>
      </c>
      <c r="C33" s="93"/>
      <c r="D33" s="85"/>
      <c r="E33" s="85"/>
      <c r="F33" s="90"/>
      <c r="G33" s="94"/>
      <c r="H33" s="15">
        <v>2470</v>
      </c>
      <c r="I33" s="93"/>
      <c r="J33" s="85"/>
      <c r="K33" s="85"/>
      <c r="L33" s="100"/>
      <c r="M33" s="100"/>
      <c r="N33" s="100"/>
    </row>
    <row r="34" ht="17.25" hidden="1" customHeight="1" spans="1:14">
      <c r="A34" s="8"/>
      <c r="B34" s="8">
        <v>2480</v>
      </c>
      <c r="C34" s="93"/>
      <c r="D34" s="85"/>
      <c r="E34" s="85"/>
      <c r="F34" s="90"/>
      <c r="G34" s="94"/>
      <c r="H34" s="15">
        <v>2480</v>
      </c>
      <c r="I34" s="93"/>
      <c r="J34" s="85"/>
      <c r="K34" s="85"/>
      <c r="L34" s="100"/>
      <c r="M34" s="100"/>
      <c r="N34" s="100"/>
    </row>
    <row r="35" ht="16.5" hidden="1" customHeight="1" spans="1:14">
      <c r="A35" s="92" t="s">
        <v>293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100"/>
      <c r="M35" s="100"/>
      <c r="N35" s="100"/>
    </row>
    <row r="36" ht="16.5" hidden="1" customHeight="1" spans="1:14">
      <c r="A36" s="8" t="s">
        <v>286</v>
      </c>
      <c r="B36" s="8"/>
      <c r="C36" s="8"/>
      <c r="D36" s="8"/>
      <c r="E36" s="8"/>
      <c r="F36" s="90"/>
      <c r="G36" s="8" t="s">
        <v>287</v>
      </c>
      <c r="H36" s="91"/>
      <c r="I36" s="91"/>
      <c r="J36" s="91"/>
      <c r="K36" s="91"/>
      <c r="L36" s="100"/>
      <c r="M36" s="100"/>
      <c r="N36" s="100"/>
    </row>
    <row r="37" ht="16.5" hidden="1" customHeight="1" spans="1:14">
      <c r="A37" s="8"/>
      <c r="B37" s="8"/>
      <c r="C37" s="8"/>
      <c r="D37" s="8"/>
      <c r="E37" s="8"/>
      <c r="F37" s="90"/>
      <c r="G37" s="8"/>
      <c r="H37" s="91"/>
      <c r="I37" s="91"/>
      <c r="J37" s="91"/>
      <c r="K37" s="91"/>
      <c r="L37" s="100"/>
      <c r="M37" s="100"/>
      <c r="N37" s="100"/>
    </row>
    <row r="38" ht="16.5" hidden="1" customHeight="1" spans="1:14">
      <c r="A38" s="8"/>
      <c r="B38" s="8"/>
      <c r="C38" s="8"/>
      <c r="D38" s="8"/>
      <c r="E38" s="8"/>
      <c r="F38" s="90"/>
      <c r="G38" s="8"/>
      <c r="H38" s="91"/>
      <c r="I38" s="91"/>
      <c r="J38" s="91"/>
      <c r="K38" s="91"/>
      <c r="L38" s="100"/>
      <c r="M38" s="100"/>
      <c r="N38" s="100"/>
    </row>
    <row r="39" ht="16.5" hidden="1" customHeight="1" spans="1:14">
      <c r="A39" s="8"/>
      <c r="B39" s="8"/>
      <c r="C39" s="8"/>
      <c r="D39" s="8"/>
      <c r="E39" s="8"/>
      <c r="F39" s="90"/>
      <c r="G39" s="8"/>
      <c r="H39" s="91"/>
      <c r="I39" s="91"/>
      <c r="J39" s="91"/>
      <c r="K39" s="91"/>
      <c r="L39" s="100"/>
      <c r="M39" s="100"/>
      <c r="N39" s="100"/>
    </row>
    <row r="40" ht="16.5" hidden="1" customHeight="1" spans="1:14">
      <c r="A40" s="8"/>
      <c r="B40" s="8"/>
      <c r="C40" s="8"/>
      <c r="D40" s="8"/>
      <c r="E40" s="8"/>
      <c r="F40" s="90"/>
      <c r="G40" s="8"/>
      <c r="H40" s="91"/>
      <c r="I40" s="91"/>
      <c r="J40" s="91"/>
      <c r="K40" s="91"/>
      <c r="L40" s="100"/>
      <c r="M40" s="100"/>
      <c r="N40" s="100"/>
    </row>
    <row r="41" ht="16.5" hidden="1" customHeight="1" spans="1:14">
      <c r="A41" s="8"/>
      <c r="B41" s="8"/>
      <c r="C41" s="8"/>
      <c r="D41" s="8"/>
      <c r="E41" s="8"/>
      <c r="F41" s="90"/>
      <c r="G41" s="8"/>
      <c r="H41" s="91"/>
      <c r="I41" s="91"/>
      <c r="J41" s="91"/>
      <c r="K41" s="91"/>
      <c r="L41" s="100"/>
      <c r="M41" s="100"/>
      <c r="N41" s="100"/>
    </row>
    <row r="42" ht="16.5" customHeight="1" spans="1:18">
      <c r="A42" s="80" t="s">
        <v>76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100"/>
      <c r="M42" s="100"/>
      <c r="N42" s="100"/>
      <c r="R42" s="101"/>
    </row>
    <row r="43" ht="16.5" customHeight="1" spans="1:14">
      <c r="A43" s="6" t="s">
        <v>276</v>
      </c>
      <c r="B43" s="72" t="s">
        <v>294</v>
      </c>
      <c r="C43" s="72"/>
      <c r="D43" s="72"/>
      <c r="E43" s="72"/>
      <c r="F43" s="15"/>
      <c r="G43" s="6" t="s">
        <v>276</v>
      </c>
      <c r="H43" s="72" t="s">
        <v>294</v>
      </c>
      <c r="I43" s="72"/>
      <c r="J43" s="72"/>
      <c r="K43" s="72"/>
      <c r="L43" s="100"/>
      <c r="M43" s="100"/>
      <c r="N43" s="100"/>
    </row>
    <row r="44" ht="16.5" customHeight="1" spans="1:14">
      <c r="A44" s="8"/>
      <c r="B44" s="8" t="s">
        <v>278</v>
      </c>
      <c r="C44" s="8" t="s">
        <v>295</v>
      </c>
      <c r="D44" s="8" t="s">
        <v>296</v>
      </c>
      <c r="E44" s="8" t="s">
        <v>281</v>
      </c>
      <c r="F44" s="94"/>
      <c r="G44" s="8"/>
      <c r="H44" s="8" t="s">
        <v>278</v>
      </c>
      <c r="I44" s="8" t="s">
        <v>295</v>
      </c>
      <c r="J44" s="8" t="s">
        <v>296</v>
      </c>
      <c r="K44" s="8" t="s">
        <v>281</v>
      </c>
      <c r="L44" s="100"/>
      <c r="M44" s="100"/>
      <c r="N44" s="100"/>
    </row>
    <row r="45" ht="16.5" customHeight="1" spans="1:14">
      <c r="A45" s="8" t="s">
        <v>286</v>
      </c>
      <c r="B45" s="8">
        <v>2402</v>
      </c>
      <c r="C45" s="95"/>
      <c r="D45" s="95"/>
      <c r="E45" s="9"/>
      <c r="F45" s="94"/>
      <c r="G45" s="8" t="s">
        <v>287</v>
      </c>
      <c r="H45" s="8">
        <v>2402</v>
      </c>
      <c r="I45" s="95"/>
      <c r="J45" s="95"/>
      <c r="K45" s="9"/>
      <c r="L45" s="100"/>
      <c r="M45" s="100"/>
      <c r="N45" s="100"/>
    </row>
    <row r="46" ht="16.5" customHeight="1" spans="1:14">
      <c r="A46" s="8"/>
      <c r="B46" s="8">
        <v>2441</v>
      </c>
      <c r="C46" s="95"/>
      <c r="D46" s="95"/>
      <c r="E46" s="9"/>
      <c r="F46" s="94"/>
      <c r="G46" s="8"/>
      <c r="H46" s="8">
        <v>2441</v>
      </c>
      <c r="I46" s="95"/>
      <c r="J46" s="95"/>
      <c r="K46" s="9"/>
      <c r="L46" s="100"/>
      <c r="M46" s="100"/>
      <c r="N46" s="100"/>
    </row>
    <row r="47" ht="16.5" customHeight="1" spans="1:14">
      <c r="A47" s="8"/>
      <c r="B47" s="8">
        <v>2480</v>
      </c>
      <c r="C47" s="95"/>
      <c r="D47" s="95"/>
      <c r="E47" s="9"/>
      <c r="F47" s="88"/>
      <c r="G47" s="8"/>
      <c r="H47" s="8">
        <v>2480</v>
      </c>
      <c r="I47" s="95"/>
      <c r="J47" s="95"/>
      <c r="K47" s="9"/>
      <c r="L47" s="100"/>
      <c r="M47" s="100"/>
      <c r="N47" s="100"/>
    </row>
    <row r="48" ht="16.5" hidden="1" customHeight="1" spans="1:14">
      <c r="A48" s="96" t="e">
        <v>#NAME?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100"/>
      <c r="M48" s="100"/>
      <c r="N48" s="100"/>
    </row>
    <row r="49" ht="16.5" hidden="1" customHeight="1" spans="1:14">
      <c r="A49" s="8" t="s">
        <v>284</v>
      </c>
      <c r="B49" s="9"/>
      <c r="C49" s="9"/>
      <c r="D49" s="9"/>
      <c r="E49" s="9"/>
      <c r="F49" s="8"/>
      <c r="G49" s="8" t="s">
        <v>284</v>
      </c>
      <c r="H49" s="9"/>
      <c r="I49" s="9"/>
      <c r="J49" s="9"/>
      <c r="K49" s="9"/>
      <c r="L49" s="100"/>
      <c r="M49" s="100"/>
      <c r="N49" s="100"/>
    </row>
    <row r="50" ht="16.5" hidden="1" customHeight="1" spans="1:14">
      <c r="A50" s="8"/>
      <c r="B50" s="8" t="s">
        <v>278</v>
      </c>
      <c r="C50" s="8" t="s">
        <v>297</v>
      </c>
      <c r="D50" s="8" t="s">
        <v>298</v>
      </c>
      <c r="E50" s="8" t="s">
        <v>281</v>
      </c>
      <c r="F50" s="8"/>
      <c r="G50" s="8"/>
      <c r="H50" s="8" t="s">
        <v>278</v>
      </c>
      <c r="I50" s="8" t="s">
        <v>297</v>
      </c>
      <c r="J50" s="8" t="s">
        <v>298</v>
      </c>
      <c r="K50" s="8" t="s">
        <v>281</v>
      </c>
      <c r="L50" s="100"/>
      <c r="M50" s="100"/>
      <c r="N50" s="100"/>
    </row>
    <row r="51" ht="16.5" hidden="1" customHeight="1" spans="1:14">
      <c r="A51" s="8" t="s">
        <v>286</v>
      </c>
      <c r="B51" s="8">
        <v>2402</v>
      </c>
      <c r="C51" s="97"/>
      <c r="D51" s="97"/>
      <c r="E51" s="9"/>
      <c r="F51" s="8"/>
      <c r="G51" s="8" t="s">
        <v>287</v>
      </c>
      <c r="H51" s="8">
        <v>2402</v>
      </c>
      <c r="I51" s="97"/>
      <c r="J51" s="97"/>
      <c r="K51" s="9"/>
      <c r="L51" s="100"/>
      <c r="M51" s="100"/>
      <c r="N51" s="100"/>
    </row>
    <row r="52" ht="16.5" hidden="1" customHeight="1" spans="1:14">
      <c r="A52" s="8"/>
      <c r="B52" s="8">
        <v>2441</v>
      </c>
      <c r="C52" s="97"/>
      <c r="D52" s="97"/>
      <c r="E52" s="9"/>
      <c r="F52" s="8"/>
      <c r="G52" s="8"/>
      <c r="H52" s="8">
        <v>2441</v>
      </c>
      <c r="I52" s="97"/>
      <c r="J52" s="97"/>
      <c r="K52" s="9"/>
      <c r="L52" s="100"/>
      <c r="M52" s="100"/>
      <c r="N52" s="100"/>
    </row>
    <row r="53" ht="16.5" hidden="1" customHeight="1" spans="1:14">
      <c r="A53" s="8"/>
      <c r="B53" s="8">
        <v>2480</v>
      </c>
      <c r="C53" s="97"/>
      <c r="D53" s="97"/>
      <c r="E53" s="9"/>
      <c r="F53" s="8"/>
      <c r="G53" s="8"/>
      <c r="H53" s="8">
        <v>2480</v>
      </c>
      <c r="I53" s="97"/>
      <c r="J53" s="97"/>
      <c r="K53" s="9"/>
      <c r="L53" s="100"/>
      <c r="M53" s="100"/>
      <c r="N53" s="100"/>
    </row>
    <row r="54" ht="254" customHeight="1" spans="1:14">
      <c r="A54" s="8" t="str">
        <f>_xlfn.DISPIMG("ID_FBA88CD8BDF04F7E9AACA60E93402DEC",1)</f>
        <v>=DISPIMG("ID_FBA88CD8BDF04F7E9AACA60E93402DEC",1)</v>
      </c>
      <c r="B54" s="8"/>
      <c r="C54" s="8"/>
      <c r="D54" s="8"/>
      <c r="E54" s="8"/>
      <c r="F54" s="6" t="s">
        <v>299</v>
      </c>
      <c r="G54" s="8" t="str">
        <f>_xlfn.DISPIMG("ID_22DC864094A24B12A219567AD8054F21",1)</f>
        <v>=DISPIMG("ID_22DC864094A24B12A219567AD8054F21",1)</v>
      </c>
      <c r="H54" s="8"/>
      <c r="I54" s="8"/>
      <c r="J54" s="8"/>
      <c r="K54" s="8"/>
      <c r="L54" s="100"/>
      <c r="M54" s="100"/>
      <c r="N54" s="100"/>
    </row>
    <row r="55" ht="229" customHeight="1" spans="1:11">
      <c r="A55" s="8" t="str">
        <f>_xlfn.DISPIMG("ID_BA6ABEC13E414A61B76958F28ED625C9",1)</f>
        <v>=DISPIMG("ID_BA6ABEC13E414A61B76958F28ED625C9",1)</v>
      </c>
      <c r="B55" s="8"/>
      <c r="C55" s="8"/>
      <c r="D55" s="8"/>
      <c r="E55" s="8"/>
      <c r="F55" s="6" t="s">
        <v>300</v>
      </c>
      <c r="G55" s="8" t="str">
        <f>_xlfn.DISPIMG("ID_F2B94FB04CEB4D179726503A96E9005E",1)</f>
        <v>=DISPIMG("ID_F2B94FB04CEB4D179726503A96E9005E",1)</v>
      </c>
      <c r="H55" s="8"/>
      <c r="I55" s="8"/>
      <c r="J55" s="8"/>
      <c r="K55" s="8"/>
    </row>
    <row r="56" customHeight="1" spans="1:11">
      <c r="A56" s="98"/>
      <c r="B56" s="99"/>
      <c r="C56" s="99"/>
      <c r="D56" s="99"/>
      <c r="E56" s="99"/>
      <c r="F56" s="98"/>
      <c r="G56" s="98"/>
      <c r="H56" s="99"/>
      <c r="I56" s="99"/>
      <c r="J56" s="99"/>
      <c r="K56" s="99"/>
    </row>
    <row r="57" customHeight="1" spans="1:11">
      <c r="A57" s="98"/>
      <c r="B57" s="99"/>
      <c r="C57" s="99"/>
      <c r="D57" s="99"/>
      <c r="E57" s="99"/>
      <c r="F57" s="98"/>
      <c r="G57" s="98"/>
      <c r="H57" s="99"/>
      <c r="I57" s="99"/>
      <c r="J57" s="99"/>
      <c r="K57" s="99"/>
    </row>
    <row r="58" customHeight="1" spans="1:11">
      <c r="A58" s="98"/>
      <c r="B58" s="99"/>
      <c r="C58" s="99"/>
      <c r="D58" s="99"/>
      <c r="E58" s="99"/>
      <c r="F58" s="98"/>
      <c r="G58" s="98"/>
      <c r="H58" s="99"/>
      <c r="I58" s="99"/>
      <c r="J58" s="99"/>
      <c r="K58" s="99"/>
    </row>
    <row r="59" customHeight="1" spans="1:11">
      <c r="A59" s="98"/>
      <c r="B59" s="99"/>
      <c r="C59" s="99"/>
      <c r="D59" s="99"/>
      <c r="E59" s="99"/>
      <c r="F59" s="98"/>
      <c r="G59" s="98"/>
      <c r="H59" s="99"/>
      <c r="I59" s="99"/>
      <c r="J59" s="99"/>
      <c r="K59" s="99"/>
    </row>
    <row r="60" customHeight="1" spans="1:11">
      <c r="A60" s="98"/>
      <c r="B60" s="99"/>
      <c r="C60" s="99"/>
      <c r="D60" s="99"/>
      <c r="E60" s="99"/>
      <c r="F60" s="98"/>
      <c r="G60" s="98"/>
      <c r="H60" s="99"/>
      <c r="I60" s="99"/>
      <c r="J60" s="99"/>
      <c r="K60" s="99"/>
    </row>
    <row r="61" customHeight="1" spans="1:11">
      <c r="A61" s="98"/>
      <c r="B61" s="99"/>
      <c r="C61" s="99"/>
      <c r="D61" s="99"/>
      <c r="E61" s="99"/>
      <c r="F61" s="98"/>
      <c r="G61" s="98"/>
      <c r="H61" s="99"/>
      <c r="I61" s="99"/>
      <c r="J61" s="99"/>
      <c r="K61" s="99"/>
    </row>
    <row r="62" customHeight="1" spans="1:11">
      <c r="A62" s="98"/>
      <c r="B62" s="99"/>
      <c r="C62" s="99"/>
      <c r="D62" s="99"/>
      <c r="E62" s="99"/>
      <c r="F62" s="98"/>
      <c r="G62" s="98"/>
      <c r="H62" s="99"/>
      <c r="I62" s="99"/>
      <c r="J62" s="99"/>
      <c r="K62" s="99"/>
    </row>
    <row r="63" customHeight="1" spans="1:11">
      <c r="A63" s="98"/>
      <c r="B63" s="99"/>
      <c r="C63" s="99"/>
      <c r="D63" s="99"/>
      <c r="E63" s="99"/>
      <c r="F63" s="98"/>
      <c r="G63" s="98"/>
      <c r="H63" s="99"/>
      <c r="I63" s="99"/>
      <c r="J63" s="99"/>
      <c r="K63" s="99"/>
    </row>
    <row r="64" customHeight="1" spans="1:11">
      <c r="A64" s="98"/>
      <c r="B64" s="99"/>
      <c r="C64" s="99"/>
      <c r="D64" s="99"/>
      <c r="E64" s="99"/>
      <c r="F64" s="98"/>
      <c r="G64" s="98"/>
      <c r="H64" s="99"/>
      <c r="I64" s="99"/>
      <c r="J64" s="99"/>
      <c r="K64" s="99"/>
    </row>
    <row r="65" customHeight="1" spans="1:11">
      <c r="A65" s="98"/>
      <c r="B65" s="99"/>
      <c r="C65" s="99"/>
      <c r="D65" s="99"/>
      <c r="E65" s="99"/>
      <c r="F65" s="98"/>
      <c r="G65" s="98"/>
      <c r="H65" s="99"/>
      <c r="I65" s="99"/>
      <c r="J65" s="99"/>
      <c r="K65" s="99"/>
    </row>
    <row r="66" customHeight="1" spans="1:11">
      <c r="A66" s="98"/>
      <c r="B66" s="99"/>
      <c r="C66" s="99"/>
      <c r="D66" s="99"/>
      <c r="E66" s="99"/>
      <c r="F66" s="98"/>
      <c r="G66" s="98"/>
      <c r="H66" s="99"/>
      <c r="I66" s="99"/>
      <c r="J66" s="99"/>
      <c r="K66" s="99"/>
    </row>
    <row r="67" customHeight="1" spans="1:11">
      <c r="A67" s="98"/>
      <c r="B67" s="99"/>
      <c r="C67" s="99"/>
      <c r="D67" s="99"/>
      <c r="E67" s="99"/>
      <c r="F67" s="98"/>
      <c r="G67" s="98"/>
      <c r="H67" s="99"/>
      <c r="I67" s="99"/>
      <c r="J67" s="99"/>
      <c r="K67" s="99"/>
    </row>
    <row r="68" customHeight="1" spans="1:11">
      <c r="A68" s="98"/>
      <c r="B68" s="99"/>
      <c r="C68" s="99"/>
      <c r="D68" s="99"/>
      <c r="E68" s="99"/>
      <c r="F68" s="98"/>
      <c r="G68" s="98"/>
      <c r="H68" s="99"/>
      <c r="I68" s="99"/>
      <c r="J68" s="99"/>
      <c r="K68" s="99"/>
    </row>
    <row r="69" customHeight="1" spans="1:11">
      <c r="A69" s="98"/>
      <c r="B69" s="99"/>
      <c r="C69" s="99"/>
      <c r="D69" s="99"/>
      <c r="E69" s="99"/>
      <c r="F69" s="98"/>
      <c r="G69" s="98"/>
      <c r="H69" s="99"/>
      <c r="I69" s="99"/>
      <c r="J69" s="99"/>
      <c r="K69" s="99"/>
    </row>
    <row r="70" customHeight="1" spans="1:11">
      <c r="A70" s="98"/>
      <c r="B70" s="99"/>
      <c r="C70" s="99"/>
      <c r="D70" s="99"/>
      <c r="E70" s="99"/>
      <c r="F70" s="98"/>
      <c r="G70" s="98"/>
      <c r="H70" s="99"/>
      <c r="I70" s="99"/>
      <c r="J70" s="99"/>
      <c r="K70" s="99"/>
    </row>
    <row r="71" customHeight="1" spans="1:11">
      <c r="A71" s="98"/>
      <c r="B71" s="99"/>
      <c r="C71" s="99"/>
      <c r="D71" s="99"/>
      <c r="E71" s="99"/>
      <c r="F71" s="98"/>
      <c r="G71" s="98"/>
      <c r="H71" s="99"/>
      <c r="I71" s="99"/>
      <c r="J71" s="99"/>
      <c r="K71" s="99"/>
    </row>
    <row r="72" customHeight="1" spans="1:11">
      <c r="A72" s="98"/>
      <c r="B72" s="99"/>
      <c r="C72" s="99"/>
      <c r="D72" s="99"/>
      <c r="E72" s="99"/>
      <c r="F72" s="98"/>
      <c r="G72" s="98"/>
      <c r="H72" s="99"/>
      <c r="I72" s="99"/>
      <c r="J72" s="99"/>
      <c r="K72" s="99"/>
    </row>
    <row r="73" customHeight="1" spans="1:11">
      <c r="A73" s="98"/>
      <c r="B73" s="99"/>
      <c r="C73" s="99"/>
      <c r="D73" s="99"/>
      <c r="E73" s="99"/>
      <c r="F73" s="98"/>
      <c r="G73" s="98"/>
      <c r="H73" s="99"/>
      <c r="I73" s="99"/>
      <c r="J73" s="99"/>
      <c r="K73" s="99"/>
    </row>
    <row r="74" customHeight="1" spans="1:11">
      <c r="A74" s="98"/>
      <c r="B74" s="99"/>
      <c r="C74" s="99"/>
      <c r="D74" s="99"/>
      <c r="E74" s="99"/>
      <c r="F74" s="98"/>
      <c r="G74" s="98"/>
      <c r="H74" s="99"/>
      <c r="I74" s="99"/>
      <c r="J74" s="99"/>
      <c r="K74" s="99"/>
    </row>
    <row r="75" customHeight="1" spans="1:11">
      <c r="A75" s="98"/>
      <c r="B75" s="99"/>
      <c r="C75" s="99"/>
      <c r="D75" s="99"/>
      <c r="E75" s="99"/>
      <c r="F75" s="98"/>
      <c r="G75" s="98"/>
      <c r="H75" s="99"/>
      <c r="I75" s="99"/>
      <c r="J75" s="99"/>
      <c r="K75" s="99"/>
    </row>
    <row r="76" customHeight="1" spans="1:11">
      <c r="A76" s="98"/>
      <c r="B76" s="99"/>
      <c r="C76" s="99"/>
      <c r="D76" s="99"/>
      <c r="E76" s="99"/>
      <c r="F76" s="98"/>
      <c r="G76" s="98"/>
      <c r="H76" s="99"/>
      <c r="I76" s="99"/>
      <c r="J76" s="99"/>
      <c r="K76" s="99"/>
    </row>
    <row r="77" customHeight="1" spans="1:11">
      <c r="A77" s="98"/>
      <c r="B77" s="99"/>
      <c r="C77" s="99"/>
      <c r="D77" s="99"/>
      <c r="E77" s="99"/>
      <c r="F77" s="98"/>
      <c r="G77" s="98"/>
      <c r="H77" s="99"/>
      <c r="I77" s="99"/>
      <c r="J77" s="99"/>
      <c r="K77" s="99"/>
    </row>
    <row r="78" customHeight="1" spans="1:11">
      <c r="A78" s="98"/>
      <c r="B78" s="99"/>
      <c r="C78" s="99"/>
      <c r="D78" s="99"/>
      <c r="E78" s="99"/>
      <c r="F78" s="98"/>
      <c r="G78" s="98"/>
      <c r="H78" s="99"/>
      <c r="I78" s="99"/>
      <c r="J78" s="99"/>
      <c r="K78" s="99"/>
    </row>
    <row r="79" customHeight="1" spans="1:11">
      <c r="A79" s="98"/>
      <c r="B79" s="99"/>
      <c r="C79" s="99"/>
      <c r="D79" s="99"/>
      <c r="E79" s="99"/>
      <c r="F79" s="98"/>
      <c r="G79" s="98"/>
      <c r="H79" s="99"/>
      <c r="I79" s="99"/>
      <c r="J79" s="99"/>
      <c r="K79" s="99"/>
    </row>
    <row r="80" customHeight="1" spans="1:11">
      <c r="A80" s="98"/>
      <c r="B80" s="99"/>
      <c r="C80" s="99"/>
      <c r="D80" s="99"/>
      <c r="E80" s="99"/>
      <c r="F80" s="98"/>
      <c r="G80" s="98"/>
      <c r="H80" s="99"/>
      <c r="I80" s="99"/>
      <c r="J80" s="99"/>
      <c r="K80" s="99"/>
    </row>
    <row r="81" customHeight="1" spans="1:11">
      <c r="A81" s="98"/>
      <c r="B81" s="99"/>
      <c r="C81" s="99"/>
      <c r="D81" s="99"/>
      <c r="E81" s="99"/>
      <c r="F81" s="98"/>
      <c r="G81" s="98"/>
      <c r="H81" s="99"/>
      <c r="I81" s="99"/>
      <c r="J81" s="99"/>
      <c r="K81" s="99"/>
    </row>
    <row r="82" customHeight="1" spans="1:11">
      <c r="A82" s="98"/>
      <c r="B82" s="99"/>
      <c r="C82" s="99"/>
      <c r="D82" s="99"/>
      <c r="E82" s="99"/>
      <c r="F82" s="98"/>
      <c r="G82" s="98"/>
      <c r="H82" s="99"/>
      <c r="I82" s="99"/>
      <c r="J82" s="99"/>
      <c r="K82" s="99"/>
    </row>
    <row r="83" customHeight="1" spans="1:11">
      <c r="A83" s="98"/>
      <c r="B83" s="99"/>
      <c r="C83" s="99"/>
      <c r="D83" s="99"/>
      <c r="E83" s="99"/>
      <c r="F83" s="98"/>
      <c r="G83" s="98"/>
      <c r="H83" s="99"/>
      <c r="I83" s="99"/>
      <c r="J83" s="99"/>
      <c r="K83" s="99"/>
    </row>
    <row r="84" customHeight="1" spans="1:11">
      <c r="A84" s="98"/>
      <c r="B84" s="99"/>
      <c r="C84" s="99"/>
      <c r="D84" s="99"/>
      <c r="E84" s="99"/>
      <c r="F84" s="98"/>
      <c r="G84" s="98"/>
      <c r="H84" s="99"/>
      <c r="I84" s="99"/>
      <c r="J84" s="99"/>
      <c r="K84" s="99"/>
    </row>
  </sheetData>
  <sheetProtection insertHyperlinks="0" autoFilter="0"/>
  <mergeCells count="43">
    <mergeCell ref="A1:K1"/>
    <mergeCell ref="B2:C2"/>
    <mergeCell ref="E2:G2"/>
    <mergeCell ref="I2:K2"/>
    <mergeCell ref="B3:C3"/>
    <mergeCell ref="E3:K3"/>
    <mergeCell ref="B4:K4"/>
    <mergeCell ref="B5:K5"/>
    <mergeCell ref="A6:K6"/>
    <mergeCell ref="B7:E7"/>
    <mergeCell ref="A12:K12"/>
    <mergeCell ref="B13:E13"/>
    <mergeCell ref="H13:K13"/>
    <mergeCell ref="A24:K24"/>
    <mergeCell ref="A35:K35"/>
    <mergeCell ref="A42:K42"/>
    <mergeCell ref="B43:E43"/>
    <mergeCell ref="H43:K43"/>
    <mergeCell ref="A48:K48"/>
    <mergeCell ref="B49:E49"/>
    <mergeCell ref="H49:K49"/>
    <mergeCell ref="A54:E54"/>
    <mergeCell ref="G54:K54"/>
    <mergeCell ref="A55:E55"/>
    <mergeCell ref="G55:K55"/>
    <mergeCell ref="A9:A11"/>
    <mergeCell ref="A14:A23"/>
    <mergeCell ref="A26:A34"/>
    <mergeCell ref="A36:A41"/>
    <mergeCell ref="A45:A47"/>
    <mergeCell ref="A51:A53"/>
    <mergeCell ref="F43:F47"/>
    <mergeCell ref="F49:F53"/>
    <mergeCell ref="G14:G23"/>
    <mergeCell ref="G26:G34"/>
    <mergeCell ref="G36:G41"/>
    <mergeCell ref="G45:G47"/>
    <mergeCell ref="G51:G53"/>
    <mergeCell ref="B36:E41"/>
    <mergeCell ref="H14:K23"/>
    <mergeCell ref="H36:K41"/>
    <mergeCell ref="B14:E23"/>
    <mergeCell ref="F7:K11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7"/>
  <sheetViews>
    <sheetView workbookViewId="0">
      <selection activeCell="A1" sqref="A1:F1"/>
    </sheetView>
  </sheetViews>
  <sheetFormatPr defaultColWidth="9" defaultRowHeight="13.5" customHeight="1"/>
  <cols>
    <col min="1" max="2" width="9.66666666666667" style="67" customWidth="1"/>
    <col min="3" max="3" width="36.1666666666667" style="67" customWidth="1"/>
    <col min="4" max="4" width="20.1666666666667" style="68" customWidth="1"/>
    <col min="5" max="5" width="20.1666666666667" style="67" hidden="1" customWidth="1"/>
    <col min="6" max="6" width="20.1666666666667" style="67" customWidth="1"/>
    <col min="7" max="37" width="9" style="67"/>
  </cols>
  <sheetData>
    <row r="1" ht="35" customHeight="1" spans="1:14">
      <c r="A1" s="69" t="s">
        <v>190</v>
      </c>
      <c r="B1" s="69"/>
      <c r="C1" s="69"/>
      <c r="D1" s="69"/>
      <c r="E1" s="69"/>
      <c r="F1" s="69"/>
      <c r="H1" s="68" t="str">
        <f>_xlfn.DISPIMG("ID_78F6D11F35FF49A2BB162935F5C83FDD",1)</f>
        <v>=DISPIMG("ID_78F6D11F35FF49A2BB162935F5C83FDD",1)</v>
      </c>
      <c r="I1" s="68"/>
      <c r="J1" s="68"/>
      <c r="K1" s="68"/>
      <c r="L1" s="68"/>
      <c r="M1" s="68"/>
      <c r="N1" s="68"/>
    </row>
    <row r="2" ht="24" customHeight="1" spans="1:14">
      <c r="A2" s="6" t="s">
        <v>32</v>
      </c>
      <c r="B2" s="6"/>
      <c r="C2" s="7">
        <v>45183</v>
      </c>
      <c r="D2" s="6" t="s">
        <v>33</v>
      </c>
      <c r="E2" s="8" t="s">
        <v>301</v>
      </c>
      <c r="F2" s="6"/>
      <c r="H2" s="68"/>
      <c r="I2" s="68"/>
      <c r="J2" s="68"/>
      <c r="K2" s="68"/>
      <c r="L2" s="68"/>
      <c r="M2" s="68"/>
      <c r="N2" s="68"/>
    </row>
    <row r="3" ht="28" customHeight="1" spans="1:14">
      <c r="A3" s="6" t="s">
        <v>192</v>
      </c>
      <c r="B3" s="6"/>
      <c r="C3" s="70" t="s">
        <v>302</v>
      </c>
      <c r="D3" s="8"/>
      <c r="E3" s="70"/>
      <c r="F3" s="70"/>
      <c r="H3" s="68"/>
      <c r="I3" s="68"/>
      <c r="J3" s="68"/>
      <c r="K3" s="68"/>
      <c r="L3" s="68"/>
      <c r="M3" s="68"/>
      <c r="N3" s="68"/>
    </row>
    <row r="4" ht="23.05" customHeight="1" spans="1:14">
      <c r="A4" s="6" t="s">
        <v>194</v>
      </c>
      <c r="B4" s="6"/>
      <c r="C4" s="71" t="s">
        <v>303</v>
      </c>
      <c r="D4" s="9"/>
      <c r="E4" s="71"/>
      <c r="F4" s="71"/>
      <c r="H4" s="68"/>
      <c r="I4" s="68"/>
      <c r="J4" s="68"/>
      <c r="K4" s="68"/>
      <c r="L4" s="68"/>
      <c r="M4" s="68"/>
      <c r="N4" s="68"/>
    </row>
    <row r="5" ht="17.25" customHeight="1" spans="1:14">
      <c r="A5" s="72" t="s">
        <v>196</v>
      </c>
      <c r="B5" s="72"/>
      <c r="C5" s="71" t="s">
        <v>197</v>
      </c>
      <c r="D5" s="9">
        <v>180</v>
      </c>
      <c r="E5" s="9"/>
      <c r="F5" s="9"/>
      <c r="H5" s="68"/>
      <c r="I5" s="68"/>
      <c r="J5" s="68"/>
      <c r="K5" s="68"/>
      <c r="L5" s="68"/>
      <c r="M5" s="68"/>
      <c r="N5" s="68"/>
    </row>
    <row r="6" ht="17.25" customHeight="1" spans="1:14">
      <c r="A6" s="72"/>
      <c r="B6" s="72"/>
      <c r="C6" s="73" t="s">
        <v>198</v>
      </c>
      <c r="D6" s="9">
        <v>70</v>
      </c>
      <c r="E6" s="9"/>
      <c r="F6" s="9"/>
      <c r="H6" s="68"/>
      <c r="I6" s="68"/>
      <c r="J6" s="68"/>
      <c r="K6" s="68"/>
      <c r="L6" s="68"/>
      <c r="M6" s="68"/>
      <c r="N6" s="68"/>
    </row>
    <row r="7" ht="17.25" customHeight="1" spans="1:14">
      <c r="A7" s="72"/>
      <c r="B7" s="72"/>
      <c r="C7" s="71" t="s">
        <v>199</v>
      </c>
      <c r="D7" s="74">
        <v>21.6</v>
      </c>
      <c r="E7" s="9"/>
      <c r="F7" s="9"/>
      <c r="H7" s="68"/>
      <c r="I7" s="68"/>
      <c r="J7" s="68"/>
      <c r="K7" s="68"/>
      <c r="L7" s="68"/>
      <c r="M7" s="68"/>
      <c r="N7" s="68"/>
    </row>
    <row r="8" ht="222" customHeight="1" spans="1:14">
      <c r="A8" s="6" t="s">
        <v>200</v>
      </c>
      <c r="B8" s="6"/>
      <c r="C8" s="75" t="s">
        <v>304</v>
      </c>
      <c r="D8" s="76"/>
      <c r="E8" s="75"/>
      <c r="F8" s="75"/>
      <c r="H8" s="68"/>
      <c r="I8" s="68"/>
      <c r="J8" s="68"/>
      <c r="K8" s="68"/>
      <c r="L8" s="68"/>
      <c r="M8" s="68"/>
      <c r="N8" s="68"/>
    </row>
    <row r="9" ht="21" customHeight="1" spans="1:14">
      <c r="A9" s="6" t="s">
        <v>202</v>
      </c>
      <c r="B9" s="6"/>
      <c r="C9" s="77" t="s">
        <v>25</v>
      </c>
      <c r="D9" s="77"/>
      <c r="E9" s="77"/>
      <c r="F9" s="77"/>
      <c r="H9" s="68"/>
      <c r="I9" s="68"/>
      <c r="J9" s="68"/>
      <c r="K9" s="68"/>
      <c r="L9" s="68"/>
      <c r="M9" s="68"/>
      <c r="N9" s="68"/>
    </row>
    <row r="10" ht="34.5" customHeight="1" spans="1:14">
      <c r="A10" s="78" t="s">
        <v>205</v>
      </c>
      <c r="B10" s="72" t="s">
        <v>305</v>
      </c>
      <c r="C10" s="9" t="s">
        <v>207</v>
      </c>
      <c r="D10" s="79" t="s">
        <v>306</v>
      </c>
      <c r="E10" s="79" t="s">
        <v>307</v>
      </c>
      <c r="F10" s="79" t="s">
        <v>39</v>
      </c>
      <c r="H10" s="68"/>
      <c r="I10" s="68"/>
      <c r="J10" s="68"/>
      <c r="K10" s="68"/>
      <c r="L10" s="68"/>
      <c r="M10" s="68"/>
      <c r="N10" s="68"/>
    </row>
    <row r="11" ht="17.25" customHeight="1" spans="1:14">
      <c r="A11" s="80"/>
      <c r="B11" s="72"/>
      <c r="C11" s="9" t="s">
        <v>308</v>
      </c>
      <c r="D11" s="9" t="s">
        <v>309</v>
      </c>
      <c r="E11" s="9" t="s">
        <v>310</v>
      </c>
      <c r="F11" s="9" t="s">
        <v>311</v>
      </c>
      <c r="H11" s="68"/>
      <c r="I11" s="68"/>
      <c r="J11" s="68"/>
      <c r="K11" s="68"/>
      <c r="L11" s="68"/>
      <c r="M11" s="68"/>
      <c r="N11" s="68"/>
    </row>
    <row r="12" ht="17.25" customHeight="1" spans="1:14">
      <c r="A12" s="80"/>
      <c r="B12" s="72"/>
      <c r="C12" s="9" t="s">
        <v>312</v>
      </c>
      <c r="D12" s="9" t="s">
        <v>309</v>
      </c>
      <c r="E12" s="9" t="s">
        <v>310</v>
      </c>
      <c r="F12" s="9" t="s">
        <v>311</v>
      </c>
      <c r="H12" s="68"/>
      <c r="I12" s="68"/>
      <c r="J12" s="68"/>
      <c r="K12" s="68"/>
      <c r="L12" s="68"/>
      <c r="M12" s="68"/>
      <c r="N12" s="68"/>
    </row>
    <row r="13" ht="17.25" customHeight="1" spans="1:6">
      <c r="A13" s="80"/>
      <c r="B13" s="72"/>
      <c r="C13" s="9" t="s">
        <v>313</v>
      </c>
      <c r="D13" s="9">
        <v>44</v>
      </c>
      <c r="E13" s="9" t="s">
        <v>310</v>
      </c>
      <c r="F13" s="9" t="s">
        <v>314</v>
      </c>
    </row>
    <row r="14" ht="34.5" customHeight="1" spans="1:6">
      <c r="A14" s="80"/>
      <c r="B14" s="72" t="s">
        <v>315</v>
      </c>
      <c r="C14" s="9" t="s">
        <v>207</v>
      </c>
      <c r="D14" s="79" t="s">
        <v>306</v>
      </c>
      <c r="E14" s="79" t="s">
        <v>307</v>
      </c>
      <c r="F14" s="79" t="s">
        <v>39</v>
      </c>
    </row>
    <row r="15" ht="17.25" customHeight="1" spans="1:6">
      <c r="A15" s="80"/>
      <c r="B15" s="72"/>
      <c r="C15" s="9" t="s">
        <v>308</v>
      </c>
      <c r="D15" s="9" t="s">
        <v>309</v>
      </c>
      <c r="E15" s="9" t="s">
        <v>310</v>
      </c>
      <c r="F15" s="9" t="s">
        <v>311</v>
      </c>
    </row>
    <row r="16" ht="17.25" customHeight="1" spans="1:6">
      <c r="A16" s="80"/>
      <c r="B16" s="72"/>
      <c r="C16" s="9" t="s">
        <v>312</v>
      </c>
      <c r="D16" s="9" t="s">
        <v>309</v>
      </c>
      <c r="E16" s="9" t="s">
        <v>310</v>
      </c>
      <c r="F16" s="9" t="s">
        <v>311</v>
      </c>
    </row>
    <row r="17" ht="17.25" customHeight="1" spans="1:6">
      <c r="A17" s="81"/>
      <c r="B17" s="72"/>
      <c r="C17" s="9" t="s">
        <v>313</v>
      </c>
      <c r="D17" s="9" t="s">
        <v>309</v>
      </c>
      <c r="E17" s="9" t="s">
        <v>310</v>
      </c>
      <c r="F17" s="9" t="s">
        <v>314</v>
      </c>
    </row>
  </sheetData>
  <sheetProtection insertHyperlinks="0" autoFilter="0"/>
  <mergeCells count="17">
    <mergeCell ref="A1:F1"/>
    <mergeCell ref="A2:B2"/>
    <mergeCell ref="E2:F2"/>
    <mergeCell ref="A3:B3"/>
    <mergeCell ref="C3:F3"/>
    <mergeCell ref="A4:B4"/>
    <mergeCell ref="C4:F4"/>
    <mergeCell ref="A8:B8"/>
    <mergeCell ref="C8:F8"/>
    <mergeCell ref="A9:B9"/>
    <mergeCell ref="C9:F9"/>
    <mergeCell ref="A10:A17"/>
    <mergeCell ref="B10:B13"/>
    <mergeCell ref="B14:B17"/>
    <mergeCell ref="A5:B7"/>
    <mergeCell ref="E5:F7"/>
    <mergeCell ref="H1:N12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7"/>
  <sheetViews>
    <sheetView workbookViewId="0">
      <selection activeCell="A1" sqref="A1:O1"/>
    </sheetView>
  </sheetViews>
  <sheetFormatPr defaultColWidth="9" defaultRowHeight="14.25" customHeight="1"/>
  <cols>
    <col min="1" max="1" width="16.1666666666667" style="1" customWidth="1"/>
    <col min="2" max="6" width="11.6666666666667" style="1" customWidth="1"/>
    <col min="7" max="7" width="30.6666666666667" style="1" customWidth="1"/>
    <col min="8" max="15" width="10.6666666666667" style="1" customWidth="1"/>
  </cols>
  <sheetData>
    <row r="1" ht="35" customHeight="1" spans="1:15">
      <c r="A1" s="53" t="s">
        <v>316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ht="30" customHeight="1" spans="1:15">
      <c r="A2" s="54" t="s">
        <v>317</v>
      </c>
      <c r="B2" s="55">
        <v>45184</v>
      </c>
      <c r="C2" s="55"/>
      <c r="D2" s="55"/>
      <c r="E2" s="55"/>
      <c r="F2" s="55"/>
      <c r="G2" s="55"/>
      <c r="H2" s="54" t="s">
        <v>318</v>
      </c>
      <c r="I2" s="27" t="s">
        <v>319</v>
      </c>
      <c r="J2" s="27"/>
      <c r="K2" s="27"/>
      <c r="L2" s="27"/>
      <c r="M2" s="27"/>
      <c r="N2" s="27"/>
      <c r="O2" s="27"/>
    </row>
    <row r="3" ht="30" customHeight="1" spans="1:15">
      <c r="A3" s="54" t="s">
        <v>320</v>
      </c>
      <c r="B3" s="35" t="s">
        <v>321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ht="30" customHeight="1" spans="1:15">
      <c r="A4" s="54" t="s">
        <v>322</v>
      </c>
      <c r="B4" s="40" t="s">
        <v>323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ht="65" customHeight="1" spans="1:15">
      <c r="A5" s="54" t="s">
        <v>324</v>
      </c>
      <c r="B5" s="40" t="s">
        <v>325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ht="86" customHeight="1" spans="1:15">
      <c r="A6" s="54" t="s">
        <v>326</v>
      </c>
      <c r="B6" s="40" t="s">
        <v>327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ht="60" customHeight="1" spans="1:15">
      <c r="A7" s="54" t="s">
        <v>328</v>
      </c>
      <c r="B7" s="56" t="s">
        <v>329</v>
      </c>
      <c r="C7" s="56"/>
      <c r="D7" s="56"/>
      <c r="E7" s="56"/>
      <c r="F7" s="56"/>
      <c r="G7" s="56"/>
      <c r="H7" s="56"/>
      <c r="I7" s="56"/>
      <c r="J7" s="56"/>
      <c r="K7" s="56"/>
      <c r="L7" s="63"/>
      <c r="M7" s="63"/>
      <c r="N7" s="63"/>
      <c r="O7" s="63"/>
    </row>
    <row r="8" ht="40" customHeight="1" spans="1:15">
      <c r="A8" s="57" t="s">
        <v>330</v>
      </c>
      <c r="B8" s="58" t="s">
        <v>331</v>
      </c>
      <c r="C8" s="58" t="s">
        <v>332</v>
      </c>
      <c r="D8" s="58" t="s">
        <v>333</v>
      </c>
      <c r="E8" s="58" t="s">
        <v>334</v>
      </c>
      <c r="F8" s="58" t="s">
        <v>335</v>
      </c>
      <c r="G8" s="58" t="s">
        <v>336</v>
      </c>
      <c r="H8" s="59" t="s">
        <v>337</v>
      </c>
      <c r="I8" s="59"/>
      <c r="J8" s="59"/>
      <c r="K8" s="59"/>
      <c r="L8" s="64" t="s">
        <v>338</v>
      </c>
      <c r="M8" s="64"/>
      <c r="N8" s="64"/>
      <c r="O8" s="64"/>
    </row>
    <row r="9" ht="71" customHeight="1" spans="1:15">
      <c r="A9" s="57"/>
      <c r="B9" s="58"/>
      <c r="C9" s="58"/>
      <c r="D9" s="58"/>
      <c r="E9" s="58"/>
      <c r="F9" s="58"/>
      <c r="G9" s="58"/>
      <c r="H9" s="60" t="s">
        <v>339</v>
      </c>
      <c r="I9" s="60" t="s">
        <v>340</v>
      </c>
      <c r="J9" s="60" t="s">
        <v>341</v>
      </c>
      <c r="K9" s="60" t="s">
        <v>342</v>
      </c>
      <c r="L9" s="65" t="s">
        <v>339</v>
      </c>
      <c r="M9" s="65" t="s">
        <v>340</v>
      </c>
      <c r="N9" s="65" t="s">
        <v>341</v>
      </c>
      <c r="O9" s="65" t="s">
        <v>342</v>
      </c>
    </row>
    <row r="10" ht="25" customHeight="1" spans="1:15">
      <c r="A10" s="57"/>
      <c r="B10" s="58" t="s">
        <v>343</v>
      </c>
      <c r="C10" s="58" t="s">
        <v>344</v>
      </c>
      <c r="D10" s="58" t="s">
        <v>345</v>
      </c>
      <c r="E10" s="60">
        <v>-3</v>
      </c>
      <c r="F10" s="60" t="s">
        <v>346</v>
      </c>
      <c r="G10" s="61" t="s">
        <v>347</v>
      </c>
      <c r="H10" s="32">
        <v>4</v>
      </c>
      <c r="I10" s="32">
        <v>2</v>
      </c>
      <c r="J10" s="66">
        <v>4.139</v>
      </c>
      <c r="K10" s="66">
        <v>2.276</v>
      </c>
      <c r="L10" s="32">
        <v>1</v>
      </c>
      <c r="M10" s="32">
        <v>1</v>
      </c>
      <c r="N10" s="66">
        <v>0.993</v>
      </c>
      <c r="O10" s="66">
        <v>0.975</v>
      </c>
    </row>
    <row r="11" ht="25" customHeight="1" spans="1:15">
      <c r="A11" s="57"/>
      <c r="B11" s="58"/>
      <c r="C11" s="58"/>
      <c r="D11" s="58"/>
      <c r="E11" s="60"/>
      <c r="F11" s="60"/>
      <c r="G11" s="61" t="s">
        <v>348</v>
      </c>
      <c r="H11" s="32">
        <v>74</v>
      </c>
      <c r="I11" s="32">
        <v>63</v>
      </c>
      <c r="J11" s="66">
        <v>97.634</v>
      </c>
      <c r="K11" s="66">
        <v>61.068</v>
      </c>
      <c r="L11" s="32">
        <v>2</v>
      </c>
      <c r="M11" s="32">
        <v>2</v>
      </c>
      <c r="N11" s="66">
        <v>1.782</v>
      </c>
      <c r="O11" s="66">
        <v>1.602</v>
      </c>
    </row>
    <row r="12" ht="25" customHeight="1" spans="1:15">
      <c r="A12" s="57"/>
      <c r="B12" s="58"/>
      <c r="C12" s="58"/>
      <c r="D12" s="58"/>
      <c r="E12" s="60"/>
      <c r="F12" s="60"/>
      <c r="G12" s="61" t="s">
        <v>349</v>
      </c>
      <c r="H12" s="32">
        <v>1</v>
      </c>
      <c r="I12" s="32">
        <v>1</v>
      </c>
      <c r="J12" s="66">
        <v>0.697</v>
      </c>
      <c r="K12" s="66">
        <v>0.702</v>
      </c>
      <c r="L12" s="32">
        <v>1</v>
      </c>
      <c r="M12" s="32">
        <v>1</v>
      </c>
      <c r="N12" s="66">
        <v>1.016</v>
      </c>
      <c r="O12" s="66">
        <v>0.993</v>
      </c>
    </row>
    <row r="13" ht="25" customHeight="1" spans="1:15">
      <c r="A13" s="57"/>
      <c r="B13" s="58"/>
      <c r="C13" s="58"/>
      <c r="D13" s="58"/>
      <c r="E13" s="60"/>
      <c r="F13" s="60"/>
      <c r="G13" s="61" t="s">
        <v>350</v>
      </c>
      <c r="H13" s="32">
        <f t="shared" ref="H13:O13" si="0">SUM(H10:H12)</f>
        <v>79</v>
      </c>
      <c r="I13" s="32">
        <f t="shared" si="0"/>
        <v>66</v>
      </c>
      <c r="J13" s="32">
        <f t="shared" si="0"/>
        <v>102.47</v>
      </c>
      <c r="K13" s="32">
        <f t="shared" si="0"/>
        <v>64.046</v>
      </c>
      <c r="L13" s="32">
        <f t="shared" si="0"/>
        <v>4</v>
      </c>
      <c r="M13" s="32">
        <f t="shared" si="0"/>
        <v>4</v>
      </c>
      <c r="N13" s="32">
        <f t="shared" si="0"/>
        <v>3.791</v>
      </c>
      <c r="O13" s="32">
        <f t="shared" si="0"/>
        <v>3.57</v>
      </c>
    </row>
    <row r="14" ht="25" customHeight="1" spans="1:15">
      <c r="A14" s="57"/>
      <c r="B14" s="58"/>
      <c r="C14" s="58"/>
      <c r="D14" s="61"/>
      <c r="E14" s="58">
        <v>0</v>
      </c>
      <c r="F14" s="62" t="s">
        <v>351</v>
      </c>
      <c r="G14" s="61" t="s">
        <v>347</v>
      </c>
      <c r="H14" s="32">
        <v>1</v>
      </c>
      <c r="I14" s="32">
        <v>1</v>
      </c>
      <c r="J14" s="66">
        <v>0.795</v>
      </c>
      <c r="K14" s="66">
        <v>0.795</v>
      </c>
      <c r="L14" s="32">
        <v>1</v>
      </c>
      <c r="M14" s="32">
        <v>1</v>
      </c>
      <c r="N14" s="66">
        <v>0.232</v>
      </c>
      <c r="O14" s="66">
        <v>0.232</v>
      </c>
    </row>
    <row r="15" ht="25" customHeight="1" spans="1:15">
      <c r="A15" s="57"/>
      <c r="B15" s="58"/>
      <c r="C15" s="58"/>
      <c r="D15" s="61"/>
      <c r="E15" s="58"/>
      <c r="F15" s="62"/>
      <c r="G15" s="61" t="s">
        <v>348</v>
      </c>
      <c r="H15" s="33">
        <v>17</v>
      </c>
      <c r="I15" s="32">
        <v>14</v>
      </c>
      <c r="J15" s="66">
        <v>12.538</v>
      </c>
      <c r="K15" s="66">
        <v>9.892</v>
      </c>
      <c r="L15" s="32">
        <v>1</v>
      </c>
      <c r="M15" s="32">
        <v>1</v>
      </c>
      <c r="N15" s="66">
        <v>0.238</v>
      </c>
      <c r="O15" s="66">
        <v>0.238</v>
      </c>
    </row>
    <row r="16" ht="25" customHeight="1" spans="1:15">
      <c r="A16" s="57"/>
      <c r="B16" s="58"/>
      <c r="C16" s="58"/>
      <c r="D16" s="61"/>
      <c r="E16" s="58"/>
      <c r="F16" s="62"/>
      <c r="G16" s="61" t="s">
        <v>349</v>
      </c>
      <c r="H16" s="33">
        <v>1</v>
      </c>
      <c r="I16" s="32">
        <v>1</v>
      </c>
      <c r="J16" s="66">
        <v>0.273</v>
      </c>
      <c r="K16" s="66">
        <v>0.273</v>
      </c>
      <c r="L16" s="32">
        <v>1</v>
      </c>
      <c r="M16" s="32">
        <v>1</v>
      </c>
      <c r="N16" s="66">
        <v>0.714</v>
      </c>
      <c r="O16" s="66">
        <v>0.714</v>
      </c>
    </row>
    <row r="17" ht="25" customHeight="1" spans="1:15">
      <c r="A17" s="57"/>
      <c r="B17" s="58"/>
      <c r="C17" s="58"/>
      <c r="D17" s="61"/>
      <c r="E17" s="58"/>
      <c r="F17" s="62"/>
      <c r="G17" s="61" t="s">
        <v>352</v>
      </c>
      <c r="H17" s="32">
        <f t="shared" ref="H17:O17" si="1">SUM(H14:H16)</f>
        <v>19</v>
      </c>
      <c r="I17" s="32">
        <f t="shared" si="1"/>
        <v>16</v>
      </c>
      <c r="J17" s="32">
        <f t="shared" si="1"/>
        <v>13.606</v>
      </c>
      <c r="K17" s="32">
        <f t="shared" si="1"/>
        <v>10.96</v>
      </c>
      <c r="L17" s="32">
        <f t="shared" si="1"/>
        <v>3</v>
      </c>
      <c r="M17" s="32">
        <f t="shared" si="1"/>
        <v>3</v>
      </c>
      <c r="N17" s="32">
        <f t="shared" si="1"/>
        <v>1.184</v>
      </c>
      <c r="O17" s="32">
        <f t="shared" si="1"/>
        <v>1.184</v>
      </c>
    </row>
  </sheetData>
  <sheetProtection insertHyperlinks="0" autoFilter="0"/>
  <mergeCells count="24">
    <mergeCell ref="A1:O1"/>
    <mergeCell ref="B2:G2"/>
    <mergeCell ref="I2:O2"/>
    <mergeCell ref="B3:O3"/>
    <mergeCell ref="B4:O4"/>
    <mergeCell ref="B5:O5"/>
    <mergeCell ref="B6:O6"/>
    <mergeCell ref="B7:O7"/>
    <mergeCell ref="H8:K8"/>
    <mergeCell ref="L8:O8"/>
    <mergeCell ref="A8:A17"/>
    <mergeCell ref="B8:B9"/>
    <mergeCell ref="B10:B17"/>
    <mergeCell ref="C8:C9"/>
    <mergeCell ref="C10:C17"/>
    <mergeCell ref="D8:D9"/>
    <mergeCell ref="D10:D17"/>
    <mergeCell ref="E8:E9"/>
    <mergeCell ref="E10:E13"/>
    <mergeCell ref="E14:E17"/>
    <mergeCell ref="F8:F9"/>
    <mergeCell ref="F10:F13"/>
    <mergeCell ref="F14:F17"/>
    <mergeCell ref="G8:G9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7"/>
  <sheetViews>
    <sheetView workbookViewId="0">
      <selection activeCell="A1" sqref="A1:F1"/>
    </sheetView>
  </sheetViews>
  <sheetFormatPr defaultColWidth="9" defaultRowHeight="14.25" customHeight="1" outlineLevelCol="5"/>
  <cols>
    <col min="1" max="1" width="10.1666666666667" style="1" customWidth="1"/>
    <col min="2" max="2" width="7.33333333333333" style="1" customWidth="1"/>
    <col min="3" max="3" width="34.6666666666667" style="1" customWidth="1"/>
    <col min="4" max="4" width="13.1666666666667" style="1" customWidth="1"/>
    <col min="5" max="5" width="29.1666666666667" style="1" customWidth="1"/>
    <col min="6" max="6" width="19.8333333333333" style="1" customWidth="1"/>
  </cols>
  <sheetData>
    <row r="1" ht="35" customHeight="1" spans="1:6">
      <c r="A1" s="3" t="s">
        <v>353</v>
      </c>
      <c r="B1" s="4"/>
      <c r="C1" s="4"/>
      <c r="D1" s="4"/>
      <c r="E1" s="4"/>
      <c r="F1" s="4"/>
    </row>
    <row r="2" ht="23" customHeight="1" spans="1:6">
      <c r="A2" s="6" t="s">
        <v>32</v>
      </c>
      <c r="B2" s="7">
        <v>45183</v>
      </c>
      <c r="C2" s="7"/>
      <c r="D2" s="6" t="s">
        <v>33</v>
      </c>
      <c r="E2" s="8" t="s">
        <v>301</v>
      </c>
      <c r="F2" s="6"/>
    </row>
    <row r="3" ht="44" customHeight="1" spans="1:6">
      <c r="A3" s="6" t="s">
        <v>253</v>
      </c>
      <c r="B3" s="9" t="s">
        <v>354</v>
      </c>
      <c r="C3" s="8"/>
      <c r="D3" s="8"/>
      <c r="E3" s="8"/>
      <c r="F3" s="8"/>
    </row>
    <row r="4" ht="34" customHeight="1" spans="1:6">
      <c r="A4" s="6" t="s">
        <v>39</v>
      </c>
      <c r="B4" s="9"/>
      <c r="C4" s="9"/>
      <c r="D4" s="9"/>
      <c r="E4" s="9"/>
      <c r="F4" s="9"/>
    </row>
    <row r="5" ht="54" customHeight="1" spans="1:6">
      <c r="A5" s="16" t="s">
        <v>41</v>
      </c>
      <c r="B5" s="41" t="s">
        <v>25</v>
      </c>
      <c r="C5" s="41"/>
      <c r="D5" s="41"/>
      <c r="E5" s="41"/>
      <c r="F5" s="41"/>
    </row>
    <row r="6" ht="37" customHeight="1" spans="1:6">
      <c r="A6" s="6" t="s">
        <v>355</v>
      </c>
      <c r="B6" s="42" t="s">
        <v>356</v>
      </c>
      <c r="C6" s="43"/>
      <c r="D6" s="44" t="s">
        <v>357</v>
      </c>
      <c r="E6" s="43"/>
      <c r="F6" s="6" t="s">
        <v>41</v>
      </c>
    </row>
    <row r="7" ht="17.25" customHeight="1" spans="1:6">
      <c r="A7" s="6"/>
      <c r="B7" s="45" t="s">
        <v>358</v>
      </c>
      <c r="C7" s="46"/>
      <c r="D7" s="47" t="s">
        <v>359</v>
      </c>
      <c r="E7" s="48"/>
      <c r="F7" s="49" t="s">
        <v>25</v>
      </c>
    </row>
    <row r="8" ht="17.25" customHeight="1" spans="1:6">
      <c r="A8" s="6"/>
      <c r="B8" s="45" t="s">
        <v>360</v>
      </c>
      <c r="C8" s="45"/>
      <c r="D8" s="47" t="s">
        <v>361</v>
      </c>
      <c r="E8" s="48"/>
      <c r="F8" s="49" t="s">
        <v>25</v>
      </c>
    </row>
    <row r="9" ht="17.25" customHeight="1" spans="1:6">
      <c r="A9" s="6"/>
      <c r="B9" s="45" t="s">
        <v>362</v>
      </c>
      <c r="C9" s="45"/>
      <c r="D9" s="47" t="s">
        <v>363</v>
      </c>
      <c r="E9" s="48"/>
      <c r="F9" s="49" t="s">
        <v>25</v>
      </c>
    </row>
    <row r="10" ht="17.25" customHeight="1" spans="1:6">
      <c r="A10" s="6"/>
      <c r="B10" s="45" t="s">
        <v>364</v>
      </c>
      <c r="C10" s="45"/>
      <c r="D10" s="47" t="s">
        <v>365</v>
      </c>
      <c r="E10" s="48"/>
      <c r="F10" s="49" t="s">
        <v>25</v>
      </c>
    </row>
    <row r="11" ht="17.25" customHeight="1" spans="1:6">
      <c r="A11" s="6"/>
      <c r="B11" s="45" t="s">
        <v>366</v>
      </c>
      <c r="C11" s="45"/>
      <c r="D11" s="47" t="s">
        <v>367</v>
      </c>
      <c r="E11" s="48"/>
      <c r="F11" s="49" t="s">
        <v>25</v>
      </c>
    </row>
    <row r="12" ht="17.25" customHeight="1" spans="1:6">
      <c r="A12" s="6"/>
      <c r="B12" s="45" t="s">
        <v>368</v>
      </c>
      <c r="C12" s="45"/>
      <c r="D12" s="47" t="s">
        <v>369</v>
      </c>
      <c r="E12" s="48"/>
      <c r="F12" s="49" t="s">
        <v>25</v>
      </c>
    </row>
    <row r="13" ht="17.25" customHeight="1" spans="1:6">
      <c r="A13" s="6"/>
      <c r="B13" s="45" t="s">
        <v>370</v>
      </c>
      <c r="C13" s="45"/>
      <c r="D13" s="47" t="s">
        <v>371</v>
      </c>
      <c r="E13" s="48"/>
      <c r="F13" s="49" t="s">
        <v>25</v>
      </c>
    </row>
    <row r="14" ht="17.25" customHeight="1" spans="1:6">
      <c r="A14" s="6"/>
      <c r="B14" s="45" t="s">
        <v>372</v>
      </c>
      <c r="C14" s="45"/>
      <c r="D14" s="47" t="s">
        <v>373</v>
      </c>
      <c r="E14" s="48"/>
      <c r="F14" s="49" t="s">
        <v>25</v>
      </c>
    </row>
    <row r="15" ht="17.25" customHeight="1" spans="1:6">
      <c r="A15" s="6"/>
      <c r="B15" s="50" t="s">
        <v>374</v>
      </c>
      <c r="C15" s="50"/>
      <c r="D15" s="47" t="s">
        <v>375</v>
      </c>
      <c r="E15" s="50"/>
      <c r="F15" s="8" t="s">
        <v>25</v>
      </c>
    </row>
    <row r="16" ht="17.25" customHeight="1" spans="1:6">
      <c r="A16" s="6"/>
      <c r="B16" s="50" t="s">
        <v>376</v>
      </c>
      <c r="C16" s="50"/>
      <c r="D16" s="47" t="s">
        <v>377</v>
      </c>
      <c r="E16" s="50"/>
      <c r="F16" s="8" t="s">
        <v>25</v>
      </c>
    </row>
    <row r="17" ht="56" customHeight="1" spans="1:6">
      <c r="A17" s="6"/>
      <c r="B17" s="50" t="s">
        <v>378</v>
      </c>
      <c r="C17" s="50"/>
      <c r="D17" s="51" t="s">
        <v>379</v>
      </c>
      <c r="E17" s="52"/>
      <c r="F17" s="8" t="s">
        <v>25</v>
      </c>
    </row>
  </sheetData>
  <sheetProtection insertHyperlinks="0" autoFilter="0"/>
  <mergeCells count="31">
    <mergeCell ref="A1:F1"/>
    <mergeCell ref="B2:C2"/>
    <mergeCell ref="E2:F2"/>
    <mergeCell ref="B3:F3"/>
    <mergeCell ref="B4:F4"/>
    <mergeCell ref="B5:F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6:A17"/>
  </mergeCells>
  <conditionalFormatting sqref="F7:F14">
    <cfRule type="cellIs" dxfId="2" priority="96" stopIfTrue="1" operator="equal">
      <formula>"FAIL"</formula>
    </cfRule>
    <cfRule type="cellIs" dxfId="3" priority="95" stopIfTrue="1" operator="equal">
      <formula>"PASS"</formula>
    </cfRule>
  </conditionalFormatting>
  <conditionalFormatting sqref="F15:F17">
    <cfRule type="cellIs" dxfId="3" priority="1" stopIfTrue="1" operator="equal">
      <formula>"PASS"</formula>
    </cfRule>
    <cfRule type="cellIs" dxfId="2" priority="2" stopIfTrue="1" operator="equal">
      <formula>"FAIL"</formula>
    </cfRule>
  </conditionalFormatting>
  <dataValidations count="1">
    <dataValidation type="list" allowBlank="1" showInputMessage="1" showErrorMessage="1" sqref="F7:F17">
      <formula1>"PASS,FAIL"</formula1>
    </dataValidation>
  </dataValidation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6"/>
  <sheetViews>
    <sheetView workbookViewId="0">
      <pane ySplit="5" topLeftCell="A6" activePane="bottomLeft" state="frozen"/>
      <selection/>
      <selection pane="bottomLeft" activeCell="A1" sqref="A1:F1"/>
    </sheetView>
  </sheetViews>
  <sheetFormatPr defaultColWidth="9" defaultRowHeight="14.25" customHeight="1" outlineLevelCol="6"/>
  <cols>
    <col min="1" max="1" width="18.6666666666667" style="23" customWidth="1"/>
    <col min="2" max="2" width="40.8333333333333" style="23" customWidth="1"/>
    <col min="3" max="3" width="18.6666666666667" style="23" customWidth="1"/>
    <col min="4" max="4" width="40.6666666666667" style="23" customWidth="1"/>
    <col min="5" max="5" width="12.6666666666667" style="23" customWidth="1"/>
    <col min="6" max="6" width="25.5" style="23" customWidth="1"/>
    <col min="7" max="40" width="9" style="23"/>
  </cols>
  <sheetData>
    <row r="1" ht="50" customHeight="1" spans="1:6">
      <c r="A1" s="24" t="s">
        <v>380</v>
      </c>
      <c r="B1" s="25"/>
      <c r="C1" s="25"/>
      <c r="D1" s="25"/>
      <c r="E1" s="25"/>
      <c r="F1" s="25"/>
    </row>
    <row r="2" ht="35" customHeight="1" spans="1:6">
      <c r="A2" s="26" t="s">
        <v>381</v>
      </c>
      <c r="B2" s="27" t="s">
        <v>382</v>
      </c>
      <c r="C2" s="28" t="s">
        <v>383</v>
      </c>
      <c r="D2" s="27" t="s">
        <v>384</v>
      </c>
      <c r="E2" s="28" t="s">
        <v>385</v>
      </c>
      <c r="F2" s="27" t="s">
        <v>386</v>
      </c>
    </row>
    <row r="3" ht="35" customHeight="1" spans="1:6">
      <c r="A3" s="28" t="s">
        <v>387</v>
      </c>
      <c r="B3" s="27" t="s">
        <v>388</v>
      </c>
      <c r="C3" s="28" t="s">
        <v>389</v>
      </c>
      <c r="D3" s="27" t="s">
        <v>390</v>
      </c>
      <c r="E3" s="28" t="s">
        <v>391</v>
      </c>
      <c r="F3" s="27" t="s">
        <v>10</v>
      </c>
    </row>
    <row r="4" ht="35" customHeight="1" spans="1:6">
      <c r="A4" s="28" t="s">
        <v>234</v>
      </c>
      <c r="B4" s="29">
        <v>45187</v>
      </c>
      <c r="C4" s="27"/>
      <c r="D4" s="27"/>
      <c r="E4" s="27"/>
      <c r="F4" s="27"/>
    </row>
    <row r="5" ht="30" customHeight="1" spans="1:6">
      <c r="A5" s="30" t="s">
        <v>392</v>
      </c>
      <c r="B5" s="30" t="s">
        <v>393</v>
      </c>
      <c r="C5" s="30"/>
      <c r="D5" s="30"/>
      <c r="E5" s="30" t="s">
        <v>19</v>
      </c>
      <c r="F5" s="30" t="s">
        <v>63</v>
      </c>
    </row>
    <row r="6" ht="180" customHeight="1" spans="1:6">
      <c r="A6" s="31" t="s">
        <v>394</v>
      </c>
      <c r="B6" s="32" t="s">
        <v>395</v>
      </c>
      <c r="C6" s="27" t="str">
        <f>_xlfn.DISPIMG("ID_7A5FE3E0625540428DD82A6FA158C4E7",1)</f>
        <v>=DISPIMG("ID_7A5FE3E0625540428DD82A6FA158C4E7",1)</v>
      </c>
      <c r="D6" s="27"/>
      <c r="E6" s="27" t="s">
        <v>25</v>
      </c>
      <c r="F6" s="33"/>
    </row>
    <row r="7" ht="180" customHeight="1" spans="1:6">
      <c r="A7" s="34"/>
      <c r="B7" s="32" t="s">
        <v>396</v>
      </c>
      <c r="C7" s="27" t="str">
        <f>_xlfn.DISPIMG("ID_76BE2F315B994E78B4A2C10FF98A09FC",1)</f>
        <v>=DISPIMG("ID_76BE2F315B994E78B4A2C10FF98A09FC",1)</v>
      </c>
      <c r="D7" s="27"/>
      <c r="E7" s="27" t="s">
        <v>25</v>
      </c>
      <c r="F7" s="33"/>
    </row>
    <row r="8" ht="25" customHeight="1" spans="1:6">
      <c r="A8" s="34"/>
      <c r="B8" s="35" t="s">
        <v>397</v>
      </c>
      <c r="C8" s="35"/>
      <c r="D8" s="35"/>
      <c r="E8" s="27" t="s">
        <v>25</v>
      </c>
      <c r="F8" s="33"/>
    </row>
    <row r="9" ht="25" customHeight="1" spans="1:6">
      <c r="A9" s="34"/>
      <c r="B9" s="35" t="s">
        <v>398</v>
      </c>
      <c r="C9" s="35"/>
      <c r="D9" s="35"/>
      <c r="E9" s="27" t="s">
        <v>22</v>
      </c>
      <c r="F9" s="36" t="s">
        <v>399</v>
      </c>
    </row>
    <row r="10" ht="25" customHeight="1" spans="1:6">
      <c r="A10" s="34"/>
      <c r="B10" s="35" t="s">
        <v>400</v>
      </c>
      <c r="C10" s="35"/>
      <c r="D10" s="35"/>
      <c r="E10" s="27" t="s">
        <v>25</v>
      </c>
      <c r="F10" s="33"/>
    </row>
    <row r="11" ht="25" customHeight="1" spans="1:6">
      <c r="A11" s="37"/>
      <c r="B11" s="35" t="s">
        <v>401</v>
      </c>
      <c r="C11" s="35"/>
      <c r="D11" s="35"/>
      <c r="E11" s="27" t="s">
        <v>25</v>
      </c>
      <c r="F11" s="33"/>
    </row>
    <row r="12" ht="25" customHeight="1" spans="1:6">
      <c r="A12" s="38" t="s">
        <v>402</v>
      </c>
      <c r="B12" s="35" t="s">
        <v>403</v>
      </c>
      <c r="C12" s="35"/>
      <c r="D12" s="35"/>
      <c r="E12" s="27" t="s">
        <v>25</v>
      </c>
      <c r="F12" s="33"/>
    </row>
    <row r="13" ht="25" customHeight="1" spans="1:6">
      <c r="A13" s="38"/>
      <c r="B13" s="35" t="s">
        <v>404</v>
      </c>
      <c r="C13" s="35"/>
      <c r="D13" s="35"/>
      <c r="E13" s="27" t="s">
        <v>25</v>
      </c>
      <c r="F13" s="33"/>
    </row>
    <row r="14" ht="25" customHeight="1" spans="1:6">
      <c r="A14" s="38"/>
      <c r="B14" s="35" t="s">
        <v>405</v>
      </c>
      <c r="C14" s="35"/>
      <c r="D14" s="35"/>
      <c r="E14" s="27" t="s">
        <v>25</v>
      </c>
      <c r="F14" s="33"/>
    </row>
    <row r="15" ht="25" customHeight="1" spans="1:7">
      <c r="A15" s="38"/>
      <c r="B15" s="35" t="s">
        <v>406</v>
      </c>
      <c r="C15" s="35"/>
      <c r="D15" s="35"/>
      <c r="E15" s="27" t="s">
        <v>25</v>
      </c>
      <c r="F15" s="33"/>
      <c r="G15" s="39"/>
    </row>
    <row r="16" ht="180" customHeight="1" spans="1:6">
      <c r="A16" s="38" t="s">
        <v>407</v>
      </c>
      <c r="B16" s="40" t="s">
        <v>408</v>
      </c>
      <c r="C16" s="27" t="str">
        <f>_xlfn.DISPIMG("ID_DD691C5F66C046268320BC1931FFBFB7",1)</f>
        <v>=DISPIMG("ID_DD691C5F66C046268320BC1931FFBFB7",1)</v>
      </c>
      <c r="D16" s="27"/>
      <c r="E16" s="27" t="s">
        <v>25</v>
      </c>
      <c r="F16" s="33"/>
    </row>
    <row r="17" ht="25" customHeight="1" spans="1:6">
      <c r="A17" s="38"/>
      <c r="B17" s="35" t="s">
        <v>409</v>
      </c>
      <c r="C17" s="35"/>
      <c r="D17" s="35"/>
      <c r="E17" s="27" t="s">
        <v>25</v>
      </c>
      <c r="F17" s="33"/>
    </row>
    <row r="18" ht="25" customHeight="1" spans="1:6">
      <c r="A18" s="38"/>
      <c r="B18" s="35" t="s">
        <v>410</v>
      </c>
      <c r="C18" s="35"/>
      <c r="D18" s="35"/>
      <c r="E18" s="27" t="s">
        <v>25</v>
      </c>
      <c r="F18" s="33"/>
    </row>
    <row r="19" ht="25" customHeight="1" spans="1:6">
      <c r="A19" s="38"/>
      <c r="B19" s="35" t="s">
        <v>411</v>
      </c>
      <c r="C19" s="35"/>
      <c r="D19" s="35"/>
      <c r="E19" s="27" t="s">
        <v>25</v>
      </c>
      <c r="F19" s="33"/>
    </row>
    <row r="20" ht="180" customHeight="1" spans="1:6">
      <c r="A20" s="38" t="s">
        <v>412</v>
      </c>
      <c r="B20" s="32" t="s">
        <v>413</v>
      </c>
      <c r="C20" s="35" t="str">
        <f>_xlfn.DISPIMG("ID_871B7FA2A52A4F3287E2F4CB61271BE4",1)</f>
        <v>=DISPIMG("ID_871B7FA2A52A4F3287E2F4CB61271BE4",1)</v>
      </c>
      <c r="D20" s="35"/>
      <c r="E20" s="27" t="s">
        <v>25</v>
      </c>
      <c r="F20" s="33"/>
    </row>
    <row r="21" ht="180" customHeight="1" spans="1:6">
      <c r="A21" s="38"/>
      <c r="B21" s="32" t="s">
        <v>414</v>
      </c>
      <c r="C21" s="27" t="str">
        <f>_xlfn.DISPIMG("ID_696CED8BF07C44B887646670C5989AE8",1)</f>
        <v>=DISPIMG("ID_696CED8BF07C44B887646670C5989AE8",1)</v>
      </c>
      <c r="D21" s="27"/>
      <c r="E21" s="27" t="s">
        <v>25</v>
      </c>
      <c r="F21" s="33"/>
    </row>
    <row r="22" ht="25" customHeight="1" spans="1:6">
      <c r="A22" s="38"/>
      <c r="B22" s="35" t="s">
        <v>415</v>
      </c>
      <c r="C22" s="35"/>
      <c r="D22" s="35"/>
      <c r="E22" s="27" t="s">
        <v>25</v>
      </c>
      <c r="F22" s="33"/>
    </row>
    <row r="23" ht="25" customHeight="1" spans="1:6">
      <c r="A23" s="38"/>
      <c r="B23" s="35" t="s">
        <v>416</v>
      </c>
      <c r="C23" s="35"/>
      <c r="D23" s="35"/>
      <c r="E23" s="27" t="s">
        <v>25</v>
      </c>
      <c r="F23" s="33"/>
    </row>
    <row r="24" ht="180" customHeight="1" spans="1:6">
      <c r="A24" s="38" t="s">
        <v>417</v>
      </c>
      <c r="B24" s="32" t="s">
        <v>418</v>
      </c>
      <c r="C24" s="27" t="str">
        <f>_xlfn.DISPIMG("ID_28F23D356EA74512A0A1D5ED837CF287",1)</f>
        <v>=DISPIMG("ID_28F23D356EA74512A0A1D5ED837CF287",1)</v>
      </c>
      <c r="D24" s="27"/>
      <c r="E24" s="27" t="s">
        <v>25</v>
      </c>
      <c r="F24" s="33"/>
    </row>
    <row r="25" ht="180" customHeight="1" spans="1:6">
      <c r="A25" s="38"/>
      <c r="B25" s="32" t="s">
        <v>419</v>
      </c>
      <c r="C25" s="27" t="str">
        <f>_xlfn.DISPIMG("ID_041E810799814A0B952813D83706560D",1)</f>
        <v>=DISPIMG("ID_041E810799814A0B952813D83706560D",1)</v>
      </c>
      <c r="D25" s="27"/>
      <c r="E25" s="27" t="s">
        <v>25</v>
      </c>
      <c r="F25" s="33"/>
    </row>
    <row r="26" ht="180" customHeight="1" spans="1:6">
      <c r="A26" s="38"/>
      <c r="B26" s="32" t="s">
        <v>420</v>
      </c>
      <c r="C26" s="27" t="str">
        <f>_xlfn.DISPIMG("ID_9B555F9E3B07406CA84CD39A5EC9067B",1)</f>
        <v>=DISPIMG("ID_9B555F9E3B07406CA84CD39A5EC9067B",1)</v>
      </c>
      <c r="D26" s="27"/>
      <c r="E26" s="27" t="s">
        <v>25</v>
      </c>
      <c r="F26" s="33"/>
    </row>
  </sheetData>
  <sheetProtection insertHyperlinks="0" autoFilter="0"/>
  <mergeCells count="29">
    <mergeCell ref="A1:F1"/>
    <mergeCell ref="B4:F4"/>
    <mergeCell ref="B5:D5"/>
    <mergeCell ref="C6:D6"/>
    <mergeCell ref="C7:D7"/>
    <mergeCell ref="B8:D8"/>
    <mergeCell ref="B9:D9"/>
    <mergeCell ref="B10:D10"/>
    <mergeCell ref="B11:D11"/>
    <mergeCell ref="B12:D12"/>
    <mergeCell ref="B13:D13"/>
    <mergeCell ref="B14:D14"/>
    <mergeCell ref="B15:D15"/>
    <mergeCell ref="C16:D16"/>
    <mergeCell ref="B17:D17"/>
    <mergeCell ref="B18:D18"/>
    <mergeCell ref="B19:D19"/>
    <mergeCell ref="C20:D20"/>
    <mergeCell ref="C21:D21"/>
    <mergeCell ref="B22:D22"/>
    <mergeCell ref="B23:D23"/>
    <mergeCell ref="C24:D24"/>
    <mergeCell ref="C25:D25"/>
    <mergeCell ref="C26:D26"/>
    <mergeCell ref="A6:A11"/>
    <mergeCell ref="A12:A15"/>
    <mergeCell ref="A16:A19"/>
    <mergeCell ref="A20:A23"/>
    <mergeCell ref="A24:A26"/>
  </mergeCells>
  <conditionalFormatting sqref="E6">
    <cfRule type="cellIs" dxfId="4" priority="57" stopIfTrue="1" operator="equal">
      <formula>"PASS"</formula>
    </cfRule>
    <cfRule type="cellIs" dxfId="2" priority="58" stopIfTrue="1" operator="equal">
      <formula>"FAIL"</formula>
    </cfRule>
  </conditionalFormatting>
  <conditionalFormatting sqref="E7">
    <cfRule type="cellIs" dxfId="2" priority="96" stopIfTrue="1" operator="equal">
      <formula>"FAIL"</formula>
    </cfRule>
    <cfRule type="cellIs" dxfId="4" priority="95" stopIfTrue="1" operator="equal">
      <formula>"PASS"</formula>
    </cfRule>
  </conditionalFormatting>
  <conditionalFormatting sqref="E8">
    <cfRule type="cellIs" dxfId="2" priority="94" stopIfTrue="1" operator="equal">
      <formula>"FAIL"</formula>
    </cfRule>
    <cfRule type="cellIs" dxfId="4" priority="93" stopIfTrue="1" operator="equal">
      <formula>"PASS"</formula>
    </cfRule>
  </conditionalFormatting>
  <conditionalFormatting sqref="E9">
    <cfRule type="cellIs" dxfId="2" priority="56" stopIfTrue="1" operator="equal">
      <formula>"FAIL"</formula>
    </cfRule>
    <cfRule type="cellIs" dxfId="4" priority="55" stopIfTrue="1" operator="equal">
      <formula>"PASS"</formula>
    </cfRule>
  </conditionalFormatting>
  <conditionalFormatting sqref="E10">
    <cfRule type="cellIs" dxfId="4" priority="91" stopIfTrue="1" operator="equal">
      <formula>"PASS"</formula>
    </cfRule>
    <cfRule type="cellIs" dxfId="2" priority="92" stopIfTrue="1" operator="equal">
      <formula>"FAIL"</formula>
    </cfRule>
  </conditionalFormatting>
  <conditionalFormatting sqref="E11">
    <cfRule type="cellIs" dxfId="4" priority="89" stopIfTrue="1" operator="equal">
      <formula>"PASS"</formula>
    </cfRule>
    <cfRule type="cellIs" dxfId="2" priority="90" stopIfTrue="1" operator="equal">
      <formula>"FAIL"</formula>
    </cfRule>
  </conditionalFormatting>
  <conditionalFormatting sqref="E12">
    <cfRule type="cellIs" dxfId="2" priority="88" stopIfTrue="1" operator="equal">
      <formula>"FAIL"</formula>
    </cfRule>
    <cfRule type="cellIs" dxfId="4" priority="87" stopIfTrue="1" operator="equal">
      <formula>"PASS"</formula>
    </cfRule>
  </conditionalFormatting>
  <conditionalFormatting sqref="E13">
    <cfRule type="cellIs" dxfId="4" priority="85" stopIfTrue="1" operator="equal">
      <formula>"PASS"</formula>
    </cfRule>
    <cfRule type="cellIs" dxfId="2" priority="86" stopIfTrue="1" operator="equal">
      <formula>"FAIL"</formula>
    </cfRule>
  </conditionalFormatting>
  <conditionalFormatting sqref="E14">
    <cfRule type="cellIs" dxfId="4" priority="83" stopIfTrue="1" operator="equal">
      <formula>"PASS"</formula>
    </cfRule>
    <cfRule type="cellIs" dxfId="2" priority="84" stopIfTrue="1" operator="equal">
      <formula>"FAIL"</formula>
    </cfRule>
  </conditionalFormatting>
  <conditionalFormatting sqref="E15">
    <cfRule type="cellIs" dxfId="4" priority="81" stopIfTrue="1" operator="equal">
      <formula>"PASS"</formula>
    </cfRule>
    <cfRule type="cellIs" dxfId="2" priority="82" stopIfTrue="1" operator="equal">
      <formula>"FAIL"</formula>
    </cfRule>
  </conditionalFormatting>
  <conditionalFormatting sqref="E16">
    <cfRule type="cellIs" dxfId="4" priority="79" stopIfTrue="1" operator="equal">
      <formula>"PASS"</formula>
    </cfRule>
    <cfRule type="cellIs" dxfId="2" priority="80" stopIfTrue="1" operator="equal">
      <formula>"FAIL"</formula>
    </cfRule>
  </conditionalFormatting>
  <conditionalFormatting sqref="E17">
    <cfRule type="cellIs" dxfId="4" priority="77" stopIfTrue="1" operator="equal">
      <formula>"PASS"</formula>
    </cfRule>
    <cfRule type="cellIs" dxfId="2" priority="78" stopIfTrue="1" operator="equal">
      <formula>"FAIL"</formula>
    </cfRule>
  </conditionalFormatting>
  <conditionalFormatting sqref="E18">
    <cfRule type="cellIs" dxfId="4" priority="75" stopIfTrue="1" operator="equal">
      <formula>"PASS"</formula>
    </cfRule>
    <cfRule type="cellIs" dxfId="2" priority="76" stopIfTrue="1" operator="equal">
      <formula>"FAIL"</formula>
    </cfRule>
  </conditionalFormatting>
  <conditionalFormatting sqref="E19">
    <cfRule type="cellIs" dxfId="2" priority="74" stopIfTrue="1" operator="equal">
      <formula>"FAIL"</formula>
    </cfRule>
    <cfRule type="cellIs" dxfId="4" priority="73" stopIfTrue="1" operator="equal">
      <formula>"PASS"</formula>
    </cfRule>
  </conditionalFormatting>
  <conditionalFormatting sqref="E20">
    <cfRule type="cellIs" dxfId="2" priority="72" stopIfTrue="1" operator="equal">
      <formula>"FAIL"</formula>
    </cfRule>
    <cfRule type="cellIs" dxfId="4" priority="71" stopIfTrue="1" operator="equal">
      <formula>"PASS"</formula>
    </cfRule>
  </conditionalFormatting>
  <conditionalFormatting sqref="E21">
    <cfRule type="cellIs" dxfId="2" priority="70" stopIfTrue="1" operator="equal">
      <formula>"FAIL"</formula>
    </cfRule>
    <cfRule type="cellIs" dxfId="4" priority="69" stopIfTrue="1" operator="equal">
      <formula>"PASS"</formula>
    </cfRule>
  </conditionalFormatting>
  <conditionalFormatting sqref="E22">
    <cfRule type="cellIs" dxfId="4" priority="67" stopIfTrue="1" operator="equal">
      <formula>"PASS"</formula>
    </cfRule>
    <cfRule type="cellIs" dxfId="2" priority="68" stopIfTrue="1" operator="equal">
      <formula>"FAIL"</formula>
    </cfRule>
  </conditionalFormatting>
  <conditionalFormatting sqref="E23">
    <cfRule type="cellIs" dxfId="2" priority="66" stopIfTrue="1" operator="equal">
      <formula>"FAIL"</formula>
    </cfRule>
    <cfRule type="cellIs" dxfId="4" priority="65" stopIfTrue="1" operator="equal">
      <formula>"PASS"</formula>
    </cfRule>
  </conditionalFormatting>
  <conditionalFormatting sqref="E24">
    <cfRule type="cellIs" dxfId="2" priority="60" stopIfTrue="1" operator="equal">
      <formula>"FAIL"</formula>
    </cfRule>
    <cfRule type="cellIs" dxfId="4" priority="59" stopIfTrue="1" operator="equal">
      <formula>"PASS"</formula>
    </cfRule>
  </conditionalFormatting>
  <conditionalFormatting sqref="E25">
    <cfRule type="cellIs" dxfId="4" priority="61" stopIfTrue="1" operator="equal">
      <formula>"PASS"</formula>
    </cfRule>
    <cfRule type="cellIs" dxfId="2" priority="62" stopIfTrue="1" operator="equal">
      <formula>"FAIL"</formula>
    </cfRule>
  </conditionalFormatting>
  <conditionalFormatting sqref="E26">
    <cfRule type="cellIs" dxfId="2" priority="64" stopIfTrue="1" operator="equal">
      <formula>"FAIL"</formula>
    </cfRule>
    <cfRule type="cellIs" dxfId="4" priority="63" stopIfTrue="1" operator="equal">
      <formula>"PASS"</formula>
    </cfRule>
  </conditionalFormatting>
  <dataValidations count="3">
    <dataValidation type="list" allowBlank="1" showInputMessage="1" showErrorMessage="1" sqref="B3">
      <formula1>"TWS,Headset"</formula1>
    </dataValidation>
    <dataValidation type="list" allowBlank="1" showInputMessage="1" showErrorMessage="1" sqref="D3">
      <formula1>"Hybrid,FF,FB"</formula1>
    </dataValidation>
    <dataValidation type="list" allowBlank="1" showInputMessage="1" showErrorMessage="1" sqref="C8:C15 C17:C19 C22:C23 E6:E26">
      <formula1>"PASS,FAIL"</formula1>
    </dataValidation>
  </dataValidation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1"/>
  <sheetViews>
    <sheetView workbookViewId="0">
      <selection activeCell="A1" sqref="A1:E1"/>
    </sheetView>
  </sheetViews>
  <sheetFormatPr defaultColWidth="9" defaultRowHeight="14.25" customHeight="1" outlineLevelCol="4"/>
  <cols>
    <col min="1" max="1" width="10.1666666666667" style="1" customWidth="1"/>
    <col min="2" max="5" width="20" style="1" customWidth="1"/>
    <col min="6" max="9" width="20" style="2" customWidth="1"/>
  </cols>
  <sheetData>
    <row r="1" ht="35" customHeight="1" spans="1:5">
      <c r="A1" s="3" t="s">
        <v>421</v>
      </c>
      <c r="B1" s="4"/>
      <c r="C1" s="4"/>
      <c r="D1" s="4"/>
      <c r="E1" s="5"/>
    </row>
    <row r="2" ht="23" customHeight="1" spans="1:5">
      <c r="A2" s="6" t="s">
        <v>32</v>
      </c>
      <c r="B2" s="7">
        <v>45187</v>
      </c>
      <c r="C2" s="7"/>
      <c r="D2" s="6" t="s">
        <v>33</v>
      </c>
      <c r="E2" s="8" t="s">
        <v>422</v>
      </c>
    </row>
    <row r="3" ht="25" customHeight="1" spans="1:5">
      <c r="A3" s="6" t="s">
        <v>34</v>
      </c>
      <c r="B3" s="9" t="s">
        <v>423</v>
      </c>
      <c r="C3" s="9"/>
      <c r="D3" s="9"/>
      <c r="E3" s="9"/>
    </row>
    <row r="4" ht="25" customHeight="1" spans="1:5">
      <c r="A4" s="6" t="s">
        <v>41</v>
      </c>
      <c r="B4" s="9" t="s">
        <v>424</v>
      </c>
      <c r="C4" s="9"/>
      <c r="D4" s="9"/>
      <c r="E4" s="9"/>
    </row>
    <row r="5" ht="37" customHeight="1" spans="1:5">
      <c r="A5" s="10" t="s">
        <v>42</v>
      </c>
      <c r="B5" s="8" t="str">
        <f>_xlfn.DISPIMG("ID_3FB8235C8EF64B4D8AA94E319D40BD3D",1)</f>
        <v>=DISPIMG("ID_3FB8235C8EF64B4D8AA94E319D40BD3D",1)</v>
      </c>
      <c r="C5" s="11"/>
      <c r="D5" s="11"/>
      <c r="E5" s="11"/>
    </row>
    <row r="6" customHeight="1" spans="1:5">
      <c r="A6" s="12"/>
      <c r="B6" s="11"/>
      <c r="C6" s="11"/>
      <c r="D6" s="11"/>
      <c r="E6" s="11"/>
    </row>
    <row r="7" customHeight="1" spans="1:5">
      <c r="A7" s="12"/>
      <c r="B7" s="11"/>
      <c r="C7" s="11"/>
      <c r="D7" s="11"/>
      <c r="E7" s="11"/>
    </row>
    <row r="8" customHeight="1" spans="1:5">
      <c r="A8" s="12"/>
      <c r="B8" s="11"/>
      <c r="C8" s="11"/>
      <c r="D8" s="11"/>
      <c r="E8" s="11"/>
    </row>
    <row r="9" customHeight="1" spans="1:5">
      <c r="A9" s="12"/>
      <c r="B9" s="11"/>
      <c r="C9" s="11"/>
      <c r="D9" s="11"/>
      <c r="E9" s="11"/>
    </row>
    <row r="10" customHeight="1" spans="1:5">
      <c r="A10" s="12"/>
      <c r="B10" s="11"/>
      <c r="C10" s="11"/>
      <c r="D10" s="11"/>
      <c r="E10" s="11"/>
    </row>
    <row r="11" customHeight="1" spans="1:5">
      <c r="A11" s="12"/>
      <c r="B11" s="11"/>
      <c r="C11" s="11"/>
      <c r="D11" s="11"/>
      <c r="E11" s="11"/>
    </row>
    <row r="12" customHeight="1" spans="1:5">
      <c r="A12" s="12"/>
      <c r="B12" s="11"/>
      <c r="C12" s="11"/>
      <c r="D12" s="11"/>
      <c r="E12" s="11"/>
    </row>
    <row r="13" ht="32.25" customHeight="1" spans="1:5">
      <c r="A13" s="13"/>
      <c r="B13" s="11"/>
      <c r="C13" s="11"/>
      <c r="D13" s="11"/>
      <c r="E13" s="11"/>
    </row>
    <row r="14" ht="25" customHeight="1" spans="1:5">
      <c r="A14" s="6" t="s">
        <v>355</v>
      </c>
      <c r="B14" s="14" t="s">
        <v>425</v>
      </c>
      <c r="C14" s="15"/>
      <c r="D14" s="15"/>
      <c r="E14" s="15"/>
    </row>
    <row r="15" ht="25" customHeight="1" spans="1:5">
      <c r="A15" s="6" t="s">
        <v>34</v>
      </c>
      <c r="B15" s="9" t="s">
        <v>426</v>
      </c>
      <c r="C15" s="9"/>
      <c r="D15" s="9"/>
      <c r="E15" s="9"/>
    </row>
    <row r="16" ht="36" customHeight="1" spans="1:5">
      <c r="A16" s="6" t="s">
        <v>253</v>
      </c>
      <c r="B16" s="9" t="s">
        <v>427</v>
      </c>
      <c r="C16" s="9"/>
      <c r="D16" s="9"/>
      <c r="E16" s="9"/>
    </row>
    <row r="17" ht="32.25" customHeight="1" spans="1:5">
      <c r="A17" s="16" t="s">
        <v>428</v>
      </c>
      <c r="B17" s="6" t="s">
        <v>429</v>
      </c>
      <c r="C17" s="6" t="s">
        <v>430</v>
      </c>
      <c r="D17" s="6" t="s">
        <v>431</v>
      </c>
      <c r="E17" s="6" t="s">
        <v>432</v>
      </c>
    </row>
    <row r="18" ht="17.25" customHeight="1" spans="1:5">
      <c r="A18" s="17"/>
      <c r="B18" s="8">
        <v>75</v>
      </c>
      <c r="C18" s="8" t="s">
        <v>433</v>
      </c>
      <c r="D18" s="8">
        <v>73</v>
      </c>
      <c r="E18" s="8">
        <v>2</v>
      </c>
    </row>
    <row r="19" ht="13.5" customHeight="1" spans="1:5">
      <c r="A19" s="17"/>
      <c r="B19" s="8">
        <v>75</v>
      </c>
      <c r="C19" s="8" t="s">
        <v>434</v>
      </c>
      <c r="D19" s="8">
        <v>70</v>
      </c>
      <c r="E19" s="8">
        <v>5</v>
      </c>
    </row>
    <row r="20" ht="17.25" customHeight="1" spans="1:5">
      <c r="A20" s="17"/>
      <c r="B20" s="8">
        <v>75</v>
      </c>
      <c r="C20" s="8" t="s">
        <v>435</v>
      </c>
      <c r="D20" s="8">
        <v>73</v>
      </c>
      <c r="E20" s="8">
        <v>2</v>
      </c>
    </row>
    <row r="21" ht="18.75" customHeight="1" spans="1:5">
      <c r="A21" s="17"/>
      <c r="B21" s="8">
        <v>75</v>
      </c>
      <c r="C21" s="8" t="s">
        <v>436</v>
      </c>
      <c r="D21" s="8">
        <v>73</v>
      </c>
      <c r="E21" s="8">
        <v>2</v>
      </c>
    </row>
    <row r="22" ht="18" customHeight="1" spans="1:5">
      <c r="A22" s="18"/>
      <c r="B22" s="8">
        <v>75</v>
      </c>
      <c r="C22" s="15" t="s">
        <v>437</v>
      </c>
      <c r="D22" s="15">
        <v>69</v>
      </c>
      <c r="E22" s="15">
        <v>6</v>
      </c>
    </row>
    <row r="23" ht="32.25" customHeight="1" spans="1:5">
      <c r="A23" s="6" t="s">
        <v>42</v>
      </c>
      <c r="B23" s="6" t="s">
        <v>438</v>
      </c>
      <c r="C23" s="19"/>
      <c r="D23" s="6" t="s">
        <v>439</v>
      </c>
      <c r="E23" s="19"/>
    </row>
    <row r="24" ht="17.25" customHeight="1" spans="1:5">
      <c r="A24" s="6"/>
      <c r="B24" s="9" t="str">
        <f>_xlfn.DISPIMG("ID_DABB849D28914E108A432F075EE187F1",1)</f>
        <v>=DISPIMG("ID_DABB849D28914E108A432F075EE187F1",1)</v>
      </c>
      <c r="C24" s="11"/>
      <c r="D24" s="20" t="str">
        <f>_xlfn.DISPIMG("ID_28B1DF3B7A7F4176A5B89C4C632704B5",1)</f>
        <v>=DISPIMG("ID_28B1DF3B7A7F4176A5B89C4C632704B5",1)</v>
      </c>
      <c r="E24" s="11"/>
    </row>
    <row r="25" ht="18" customHeight="1" spans="1:5">
      <c r="A25" s="6"/>
      <c r="B25" s="11"/>
      <c r="C25" s="11"/>
      <c r="D25" s="11"/>
      <c r="E25" s="11"/>
    </row>
    <row r="26" ht="17.25" customHeight="1" spans="1:5">
      <c r="A26" s="6"/>
      <c r="B26" s="11"/>
      <c r="C26" s="11"/>
      <c r="D26" s="11"/>
      <c r="E26" s="11"/>
    </row>
    <row r="27" ht="16.5" customHeight="1" spans="1:5">
      <c r="A27" s="6"/>
      <c r="B27" s="11"/>
      <c r="C27" s="11"/>
      <c r="D27" s="11"/>
      <c r="E27" s="11"/>
    </row>
    <row r="28" ht="32.25" customHeight="1" spans="1:5">
      <c r="A28" s="6"/>
      <c r="B28" s="21" t="s">
        <v>440</v>
      </c>
      <c r="C28" s="19"/>
      <c r="D28" s="21" t="s">
        <v>441</v>
      </c>
      <c r="E28" s="19"/>
    </row>
    <row r="29" ht="18" customHeight="1" spans="1:5">
      <c r="A29" s="6"/>
      <c r="B29" s="20" t="str">
        <f>_xlfn.DISPIMG("ID_E8077CCC462F49AEBFDE562BDD644216",1)</f>
        <v>=DISPIMG("ID_E8077CCC462F49AEBFDE562BDD644216",1)</v>
      </c>
      <c r="C29" s="11"/>
      <c r="D29" s="20" t="str">
        <f>_xlfn.DISPIMG("ID_66D976D4BDAC40A6B970DA564FD8FA87",1)</f>
        <v>=DISPIMG("ID_66D976D4BDAC40A6B970DA564FD8FA87",1)</v>
      </c>
      <c r="E29" s="11"/>
    </row>
    <row r="30" ht="18" customHeight="1" spans="1:5">
      <c r="A30" s="6"/>
      <c r="B30" s="11"/>
      <c r="C30" s="11"/>
      <c r="D30" s="11"/>
      <c r="E30" s="11"/>
    </row>
    <row r="31" ht="15" customHeight="1" spans="1:5">
      <c r="A31" s="6"/>
      <c r="B31" s="11"/>
      <c r="C31" s="11"/>
      <c r="D31" s="11"/>
      <c r="E31" s="11"/>
    </row>
    <row r="32" ht="18.75" customHeight="1" spans="1:5">
      <c r="A32" s="6"/>
      <c r="B32" s="11"/>
      <c r="C32" s="11"/>
      <c r="D32" s="11"/>
      <c r="E32" s="11"/>
    </row>
    <row r="33" ht="32.25" customHeight="1" spans="1:5">
      <c r="A33" s="6"/>
      <c r="B33" s="21" t="s">
        <v>442</v>
      </c>
      <c r="C33" s="19"/>
      <c r="D33" s="21" t="s">
        <v>443</v>
      </c>
      <c r="E33" s="19"/>
    </row>
    <row r="34" ht="18" customHeight="1" spans="1:5">
      <c r="A34" s="6"/>
      <c r="B34" s="20" t="str">
        <f>_xlfn.DISPIMG("ID_24F23EB9FDD44170BE33F82ACCF064BE",1)</f>
        <v>=DISPIMG("ID_24F23EB9FDD44170BE33F82ACCF064BE",1)</v>
      </c>
      <c r="C34" s="11"/>
      <c r="D34" s="20" t="str">
        <f>_xlfn.DISPIMG("ID_42BB599179DF496EAEDF96EDA9F0AFFB",1)</f>
        <v>=DISPIMG("ID_42BB599179DF496EAEDF96EDA9F0AFFB",1)</v>
      </c>
      <c r="E34" s="11"/>
    </row>
    <row r="35" ht="18" customHeight="1" spans="1:5">
      <c r="A35" s="6"/>
      <c r="B35" s="11"/>
      <c r="C35" s="11"/>
      <c r="D35" s="11"/>
      <c r="E35" s="11"/>
    </row>
    <row r="36" ht="15" customHeight="1" spans="1:5">
      <c r="A36" s="6"/>
      <c r="B36" s="11"/>
      <c r="C36" s="11"/>
      <c r="D36" s="11"/>
      <c r="E36" s="11"/>
    </row>
    <row r="37" ht="15.75" customHeight="1" spans="1:5">
      <c r="A37" s="6"/>
      <c r="B37" s="11"/>
      <c r="C37" s="11"/>
      <c r="D37" s="11"/>
      <c r="E37" s="11"/>
    </row>
    <row r="38" ht="36" customHeight="1" spans="1:5">
      <c r="A38" s="6"/>
      <c r="B38" s="9" t="s">
        <v>425</v>
      </c>
      <c r="C38" s="8"/>
      <c r="D38" s="8"/>
      <c r="E38" s="8"/>
    </row>
    <row r="39" ht="36" customHeight="1" spans="1:5">
      <c r="A39" s="6"/>
      <c r="B39" s="9" t="s">
        <v>426</v>
      </c>
      <c r="C39" s="9"/>
      <c r="D39" s="9"/>
      <c r="E39" s="9"/>
    </row>
    <row r="40" ht="36" customHeight="1" spans="1:5">
      <c r="A40" s="6"/>
      <c r="B40" s="9" t="s">
        <v>444</v>
      </c>
      <c r="C40" s="9"/>
      <c r="D40" s="9"/>
      <c r="E40" s="9"/>
    </row>
    <row r="41" ht="19" customHeight="1" spans="1:5">
      <c r="A41" s="6"/>
      <c r="B41" s="6" t="s">
        <v>429</v>
      </c>
      <c r="C41" s="6" t="s">
        <v>430</v>
      </c>
      <c r="D41" s="6" t="s">
        <v>431</v>
      </c>
      <c r="E41" s="6" t="s">
        <v>432</v>
      </c>
    </row>
    <row r="42" ht="19" customHeight="1" spans="1:5">
      <c r="A42" s="6"/>
      <c r="B42" s="8">
        <v>75</v>
      </c>
      <c r="C42" s="8" t="s">
        <v>433</v>
      </c>
      <c r="D42" s="8">
        <v>72</v>
      </c>
      <c r="E42" s="8">
        <v>3</v>
      </c>
    </row>
    <row r="43" ht="19" customHeight="1" spans="1:5">
      <c r="A43" s="6"/>
      <c r="B43" s="8">
        <v>75</v>
      </c>
      <c r="C43" s="8" t="s">
        <v>434</v>
      </c>
      <c r="D43" s="8">
        <v>68</v>
      </c>
      <c r="E43" s="8">
        <v>7</v>
      </c>
    </row>
    <row r="44" ht="19" customHeight="1" spans="1:5">
      <c r="A44" s="6"/>
      <c r="B44" s="8">
        <v>75</v>
      </c>
      <c r="C44" s="8" t="s">
        <v>435</v>
      </c>
      <c r="D44" s="8">
        <v>71</v>
      </c>
      <c r="E44" s="8">
        <v>4</v>
      </c>
    </row>
    <row r="45" ht="19" customHeight="1" spans="1:5">
      <c r="A45" s="6"/>
      <c r="B45" s="8">
        <v>75</v>
      </c>
      <c r="C45" s="8" t="s">
        <v>436</v>
      </c>
      <c r="D45" s="8">
        <v>67</v>
      </c>
      <c r="E45" s="8">
        <v>8</v>
      </c>
    </row>
    <row r="46" ht="19" customHeight="1" spans="1:5">
      <c r="A46" s="6"/>
      <c r="B46" s="8">
        <v>75</v>
      </c>
      <c r="C46" s="8" t="s">
        <v>437</v>
      </c>
      <c r="D46" s="8">
        <v>69</v>
      </c>
      <c r="E46" s="8">
        <v>6</v>
      </c>
    </row>
    <row r="47" ht="25" customHeight="1" spans="1:5">
      <c r="A47" s="6"/>
      <c r="B47" s="6" t="s">
        <v>438</v>
      </c>
      <c r="C47" s="19"/>
      <c r="D47" s="6" t="s">
        <v>439</v>
      </c>
      <c r="E47" s="19"/>
    </row>
    <row r="48" customHeight="1" spans="1:5">
      <c r="A48" s="6"/>
      <c r="B48" s="9" t="str">
        <f>_xlfn.DISPIMG("ID_0B7C984140B248F7AD5DDE99D9CFD6FB",1)</f>
        <v>=DISPIMG("ID_0B7C984140B248F7AD5DDE99D9CFD6FB",1)</v>
      </c>
      <c r="C48" s="11"/>
      <c r="D48" s="9" t="str">
        <f>_xlfn.DISPIMG("ID_4CFB94F34B4B485082B380A2EFE0DB84",1)</f>
        <v>=DISPIMG("ID_4CFB94F34B4B485082B380A2EFE0DB84",1)</v>
      </c>
      <c r="E48" s="11"/>
    </row>
    <row r="49" customHeight="1" spans="1:5">
      <c r="A49" s="6"/>
      <c r="B49" s="11"/>
      <c r="C49" s="11"/>
      <c r="D49" s="11"/>
      <c r="E49" s="11"/>
    </row>
    <row r="50" customHeight="1" spans="1:5">
      <c r="A50" s="6"/>
      <c r="B50" s="11"/>
      <c r="C50" s="11"/>
      <c r="D50" s="11"/>
      <c r="E50" s="11"/>
    </row>
    <row r="51" customHeight="1" spans="1:5">
      <c r="A51" s="6"/>
      <c r="B51" s="11"/>
      <c r="C51" s="11"/>
      <c r="D51" s="11"/>
      <c r="E51" s="11"/>
    </row>
    <row r="52" ht="19" customHeight="1" spans="1:5">
      <c r="A52" s="6"/>
      <c r="B52" s="22" t="s">
        <v>440</v>
      </c>
      <c r="C52" s="19"/>
      <c r="D52" s="22" t="s">
        <v>441</v>
      </c>
      <c r="E52" s="19"/>
    </row>
    <row r="53" customHeight="1" spans="1:5">
      <c r="A53" s="6"/>
      <c r="B53" s="9" t="str">
        <f>_xlfn.DISPIMG("ID_240DE5B6F6104FAAA7F7E16CA8BE8ECA",1)</f>
        <v>=DISPIMG("ID_240DE5B6F6104FAAA7F7E16CA8BE8ECA",1)</v>
      </c>
      <c r="C53" s="11"/>
      <c r="D53" s="9" t="str">
        <f>_xlfn.DISPIMG("ID_6AC7220371D846CC9878A47C1EB1A11B",1)</f>
        <v>=DISPIMG("ID_6AC7220371D846CC9878A47C1EB1A11B",1)</v>
      </c>
      <c r="E53" s="11"/>
    </row>
    <row r="54" customHeight="1" spans="1:5">
      <c r="A54" s="6"/>
      <c r="B54" s="11"/>
      <c r="C54" s="11"/>
      <c r="D54" s="11"/>
      <c r="E54" s="11"/>
    </row>
    <row r="55" customHeight="1" spans="1:5">
      <c r="A55" s="6"/>
      <c r="B55" s="11"/>
      <c r="C55" s="11"/>
      <c r="D55" s="11"/>
      <c r="E55" s="11"/>
    </row>
    <row r="56" customHeight="1" spans="1:5">
      <c r="A56" s="6"/>
      <c r="B56" s="11"/>
      <c r="C56" s="11"/>
      <c r="D56" s="11"/>
      <c r="E56" s="11"/>
    </row>
    <row r="57" ht="21" customHeight="1" spans="1:5">
      <c r="A57" s="6"/>
      <c r="B57" s="22" t="s">
        <v>442</v>
      </c>
      <c r="C57" s="19"/>
      <c r="D57" s="22" t="s">
        <v>443</v>
      </c>
      <c r="E57" s="19"/>
    </row>
    <row r="58" customHeight="1" spans="1:5">
      <c r="A58" s="6"/>
      <c r="B58" s="9" t="str">
        <f>_xlfn.DISPIMG("ID_54D0BEEF72C54CAAA2D80A518EA75C6B",1)</f>
        <v>=DISPIMG("ID_54D0BEEF72C54CAAA2D80A518EA75C6B",1)</v>
      </c>
      <c r="C58" s="11"/>
      <c r="D58" s="9" t="str">
        <f>_xlfn.DISPIMG("ID_756E81D2301E469990EFDECF0E37EE1F",1)</f>
        <v>=DISPIMG("ID_756E81D2301E469990EFDECF0E37EE1F",1)</v>
      </c>
      <c r="E58" s="11"/>
    </row>
    <row r="59" customHeight="1" spans="1:5">
      <c r="A59" s="6"/>
      <c r="B59" s="11"/>
      <c r="C59" s="11"/>
      <c r="D59" s="11"/>
      <c r="E59" s="11"/>
    </row>
    <row r="60" customHeight="1" spans="1:5">
      <c r="A60" s="6"/>
      <c r="B60" s="11"/>
      <c r="C60" s="11"/>
      <c r="D60" s="11"/>
      <c r="E60" s="11"/>
    </row>
    <row r="61" customHeight="1" spans="1:5">
      <c r="A61" s="6"/>
      <c r="B61" s="11"/>
      <c r="C61" s="11"/>
      <c r="D61" s="11"/>
      <c r="E61" s="11"/>
    </row>
  </sheetData>
  <sheetProtection insertHyperlinks="0" autoFilter="0"/>
  <mergeCells count="38">
    <mergeCell ref="A1:E1"/>
    <mergeCell ref="B2:C2"/>
    <mergeCell ref="B3:E3"/>
    <mergeCell ref="B4:E4"/>
    <mergeCell ref="B14:E14"/>
    <mergeCell ref="B15:E15"/>
    <mergeCell ref="B16:E16"/>
    <mergeCell ref="B23:C23"/>
    <mergeCell ref="D23:E23"/>
    <mergeCell ref="B28:C28"/>
    <mergeCell ref="D28:E28"/>
    <mergeCell ref="B33:C33"/>
    <mergeCell ref="D33:E33"/>
    <mergeCell ref="B38:E38"/>
    <mergeCell ref="B39:E39"/>
    <mergeCell ref="B40:E40"/>
    <mergeCell ref="B47:C47"/>
    <mergeCell ref="D47:E47"/>
    <mergeCell ref="B52:C52"/>
    <mergeCell ref="D52:E52"/>
    <mergeCell ref="B57:C57"/>
    <mergeCell ref="D57:E57"/>
    <mergeCell ref="A5:A13"/>
    <mergeCell ref="A17:A22"/>
    <mergeCell ref="A23:A61"/>
    <mergeCell ref="B53:C56"/>
    <mergeCell ref="D53:E56"/>
    <mergeCell ref="B29:C32"/>
    <mergeCell ref="D29:E32"/>
    <mergeCell ref="B48:C51"/>
    <mergeCell ref="D48:E51"/>
    <mergeCell ref="B34:C37"/>
    <mergeCell ref="D34:E37"/>
    <mergeCell ref="B24:C27"/>
    <mergeCell ref="D24:E27"/>
    <mergeCell ref="B5:E13"/>
    <mergeCell ref="B58:C61"/>
    <mergeCell ref="D58:E61"/>
  </mergeCells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5.75" customHeight="1"/>
  <sheetData/>
  <sheetProtection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品牌客户验收</vt:lpstr>
      <vt:lpstr>1、RF传导测试</vt:lpstr>
      <vt:lpstr>2、RF暗室测试  </vt:lpstr>
      <vt:lpstr>3、DAC性能测试 </vt:lpstr>
      <vt:lpstr>4、功耗测试</vt:lpstr>
      <vt:lpstr>5、距离测试 </vt:lpstr>
      <vt:lpstr>6、卡顿专项测试 </vt:lpstr>
      <vt:lpstr>7、RF C-I测试  </vt:lpstr>
      <vt:lpstr>2、RF暗室测试</vt:lpstr>
      <vt:lpstr>5、距离测试</vt:lpstr>
      <vt:lpstr>6、卡顿专项测试</vt:lpstr>
      <vt:lpstr>12、杂音测试</vt:lpstr>
      <vt:lpstr>13、ANC测试</vt:lpstr>
      <vt:lpstr>14、ENC测试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ZPC21-026</cp:lastModifiedBy>
  <dcterms:created xsi:type="dcterms:W3CDTF">2006-09-16T00:00:00Z</dcterms:created>
  <dcterms:modified xsi:type="dcterms:W3CDTF">2025-06-18T05:59:21Z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E42B0347125A48EEA7CCFACA120A3493_12</vt:lpwstr>
  </property>
</Properties>
</file>